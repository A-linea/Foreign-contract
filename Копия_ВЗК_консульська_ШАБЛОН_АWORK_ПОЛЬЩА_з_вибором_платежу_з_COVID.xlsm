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5.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Заповнення полісу" sheetId="1" state="visible" r:id="rId3"/>
    <sheet name="ДРУК ПОЛІСУ" sheetId="2" state="visible" r:id="rId4"/>
    <sheet name="Умови страхування" sheetId="3" state="visible" r:id="rId5"/>
    <sheet name="formula" sheetId="4" state="hidden" r:id="rId6"/>
    <sheet name="Рахунок до сплати" sheetId="5" state="visible" r:id="rId7"/>
  </sheets>
  <definedNames>
    <definedName function="false" hidden="false" localSheetId="0" name="_xlnm.Print_Area" vbProcedure="false">'Заповнення полісу'!$A$2:$AI$11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<sst xmlns="http://schemas.openxmlformats.org/spreadsheetml/2006/main" count="362" uniqueCount="160">
  <si>
    <t xml:space="preserve">СТРАХУВАННЯ ПОДОРОЖУЮЧИХ ОСІБ - програма А (work) для ПОЛЬЩА</t>
  </si>
  <si>
    <t xml:space="preserve">Інформація про Страхувальника</t>
  </si>
  <si>
    <t xml:space="preserve">SAVONCHUK NADIIA</t>
  </si>
  <si>
    <t xml:space="preserve">Строк дії </t>
  </si>
  <si>
    <t xml:space="preserve">№ паспорта</t>
  </si>
  <si>
    <t xml:space="preserve">FJ428913</t>
  </si>
  <si>
    <t xml:space="preserve">число</t>
  </si>
  <si>
    <t xml:space="preserve">місяць</t>
  </si>
  <si>
    <t xml:space="preserve">рік</t>
  </si>
  <si>
    <t xml:space="preserve">Дата народження</t>
  </si>
  <si>
    <t xml:space="preserve">К-ть днів</t>
  </si>
  <si>
    <t xml:space="preserve">з</t>
  </si>
  <si>
    <t xml:space="preserve">Телефон</t>
  </si>
  <si>
    <t xml:space="preserve">по</t>
  </si>
  <si>
    <t xml:space="preserve">Адреса</t>
  </si>
  <si>
    <t xml:space="preserve">Ukraine, m.Kyiv, vul. Uritskogo, 11/89</t>
  </si>
  <si>
    <t xml:space="preserve">Інформація про застрахованих осіб</t>
  </si>
  <si>
    <t xml:space="preserve">вік:</t>
  </si>
  <si>
    <t xml:space="preserve">Прізвище, ім'я</t>
  </si>
  <si>
    <t xml:space="preserve">Страхова сума на одну застраховану особу</t>
  </si>
  <si>
    <t xml:space="preserve">Медичні та інші витрати (МВ)</t>
  </si>
  <si>
    <t xml:space="preserve">Нещасний випадок (НВ), грн.</t>
  </si>
  <si>
    <t xml:space="preserve">Тариф, %</t>
  </si>
  <si>
    <t xml:space="preserve">Програма страхування</t>
  </si>
  <si>
    <t xml:space="preserve">M</t>
  </si>
  <si>
    <t xml:space="preserve">Група ризику</t>
  </si>
  <si>
    <t xml:space="preserve">T</t>
  </si>
  <si>
    <t xml:space="preserve">Страховий платіж на одну застраховану особу МВ, грн.</t>
  </si>
  <si>
    <t xml:space="preserve">На одну застраховану особу НВ, грн.</t>
  </si>
  <si>
    <t xml:space="preserve">На одну застраховану особу МВ+НВ, грн.</t>
  </si>
  <si>
    <r>
      <rPr>
        <b val="true"/>
        <sz val="12"/>
        <rFont val="Arial"/>
        <family val="2"/>
        <charset val="204"/>
      </rPr>
      <t xml:space="preserve">На одну застраховану особу МВ+НВ,  </t>
    </r>
    <r>
      <rPr>
        <b val="true"/>
        <i val="true"/>
        <sz val="12"/>
        <rFont val="Arial"/>
        <family val="2"/>
        <charset val="204"/>
      </rPr>
      <t xml:space="preserve">у валюті договору</t>
    </r>
  </si>
  <si>
    <t xml:space="preserve">Кількість застрахованих осіб</t>
  </si>
  <si>
    <t xml:space="preserve">Загальний по МВ, грн.</t>
  </si>
  <si>
    <t xml:space="preserve">Загальний по НВ, грн.</t>
  </si>
  <si>
    <t xml:space="preserve">Загальний по МВ+НВ, грн.</t>
  </si>
  <si>
    <t xml:space="preserve">Франшиза по страхуванню</t>
  </si>
  <si>
    <t xml:space="preserve">Дата внесення страхової премії</t>
  </si>
  <si>
    <t xml:space="preserve">Територія дії страхування / Insured territory</t>
  </si>
  <si>
    <t xml:space="preserve">Європа/Europe</t>
  </si>
  <si>
    <t xml:space="preserve">пл</t>
  </si>
  <si>
    <t xml:space="preserve">платіж згідно затверджених тарифів</t>
  </si>
  <si>
    <t xml:space="preserve">                                                                                                                                                                                      W</t>
  </si>
  <si>
    <t xml:space="preserve">Страховий захист надається згідно Рішення ради ЄС/2004/17/EG про медичне страхування подорожуючих осіб/Insurance cover is provided under Council decision 2004/17/EG on Travel medical Insurance.</t>
  </si>
  <si>
    <t xml:space="preserve">Інформація про Страхувальника / Information about Insured</t>
  </si>
  <si>
    <t xml:space="preserve">Строк дії, днів / 
Valid days</t>
  </si>
  <si>
    <t xml:space="preserve">з/
from</t>
  </si>
  <si>
    <t xml:space="preserve">по / 
to</t>
  </si>
  <si>
    <t xml:space="preserve">Страхувальник (Прізвище, Ім'я)/</t>
  </si>
  <si>
    <t xml:space="preserve">Страхувальник є Застрахованою особою</t>
  </si>
  <si>
    <t xml:space="preserve">Insured (Name and First Name)</t>
  </si>
  <si>
    <t xml:space="preserve">/ The Insured is an Insured Person</t>
  </si>
  <si>
    <t xml:space="preserve">Так/Yes</t>
  </si>
  <si>
    <t xml:space="preserve">date</t>
  </si>
  <si>
    <t xml:space="preserve">month</t>
  </si>
  <si>
    <t xml:space="preserve">year</t>
  </si>
  <si>
    <t xml:space="preserve">№ Паспорта /</t>
  </si>
  <si>
    <t xml:space="preserve">Дата народження /</t>
  </si>
  <si>
    <t xml:space="preserve">Тел./</t>
  </si>
  <si>
    <t xml:space="preserve">Страхова сума на одну застраховану особу /</t>
  </si>
  <si>
    <t xml:space="preserve">Страхова премія, грн. /</t>
  </si>
  <si>
    <t xml:space="preserve">Passport</t>
  </si>
  <si>
    <t xml:space="preserve">Birth date</t>
  </si>
  <si>
    <t xml:space="preserve">Phone.</t>
  </si>
  <si>
    <t xml:space="preserve">Sum insured per one Person</t>
  </si>
  <si>
    <t xml:space="preserve">Insurance payment, UAH.</t>
  </si>
  <si>
    <t xml:space="preserve">Адреса / Address</t>
  </si>
  <si>
    <t xml:space="preserve">(МВ) Медичні та інші витрати /</t>
  </si>
  <si>
    <t xml:space="preserve">(НВ) Нещасний випадок, грн./</t>
  </si>
  <si>
    <t xml:space="preserve">На одну
Застраховану особу</t>
  </si>
  <si>
    <t xml:space="preserve">MB</t>
  </si>
  <si>
    <t xml:space="preserve">(MВ) Medical &amp; other costs</t>
  </si>
  <si>
    <t xml:space="preserve">(НВ) Accident, UAH.</t>
  </si>
  <si>
    <t xml:space="preserve">HB</t>
  </si>
  <si>
    <t xml:space="preserve">-</t>
  </si>
  <si>
    <t xml:space="preserve">Інформація про Застрахованих осіб / Information about the Insured persons</t>
  </si>
  <si>
    <t xml:space="preserve">30 000,00 EUR</t>
  </si>
  <si>
    <t xml:space="preserve">--</t>
  </si>
  <si>
    <t xml:space="preserve">/ Per one Person</t>
  </si>
  <si>
    <t xml:space="preserve">MB+HB</t>
  </si>
  <si>
    <t xml:space="preserve">Прізвище, Ім'я /</t>
  </si>
  <si>
    <t xml:space="preserve">Адреса /</t>
  </si>
  <si>
    <t xml:space="preserve">Дата народж.</t>
  </si>
  <si>
    <t xml:space="preserve">Name and First Name</t>
  </si>
  <si>
    <t xml:space="preserve">Address</t>
  </si>
  <si>
    <t xml:space="preserve">/ Birth date</t>
  </si>
  <si>
    <t xml:space="preserve">Тариф, % / Insurance rate, %</t>
  </si>
  <si>
    <t xml:space="preserve">/ Number of Insured</t>
  </si>
  <si>
    <t xml:space="preserve">Програма страхування / Insurance Program</t>
  </si>
  <si>
    <t xml:space="preserve">А</t>
  </si>
  <si>
    <t xml:space="preserve">Група ризику /</t>
  </si>
  <si>
    <t xml:space="preserve">Загальна страхова премія / TOTAL insurance premium</t>
  </si>
  <si>
    <t xml:space="preserve">Risk Group</t>
  </si>
  <si>
    <t xml:space="preserve">W</t>
  </si>
  <si>
    <r>
      <rPr>
        <b val="true"/>
        <sz val="6"/>
        <rFont val="Calibri"/>
        <family val="2"/>
        <charset val="204"/>
      </rPr>
      <t xml:space="preserve">Інформація про Вигодонабувача-</t>
    </r>
    <r>
      <rPr>
        <sz val="5.5"/>
        <rFont val="Calibri"/>
        <family val="2"/>
        <charset val="204"/>
      </rPr>
      <t xml:space="preserve">ПІБ, адреса, дата нар.</t>
    </r>
    <r>
      <rPr>
        <b val="true"/>
        <sz val="6"/>
        <rFont val="Calibri"/>
        <family val="2"/>
        <charset val="204"/>
      </rPr>
      <t xml:space="preserve">/Information about Beneficiary</t>
    </r>
    <r>
      <rPr>
        <sz val="5.5"/>
        <rFont val="Calibri"/>
        <family val="2"/>
        <charset val="204"/>
      </rPr>
      <t xml:space="preserve">-Name, Address, Birth date</t>
    </r>
  </si>
  <si>
    <t xml:space="preserve">Дата укладення (оплати) / Issuance date (of payment)</t>
  </si>
  <si>
    <t xml:space="preserve">Франшиза </t>
  </si>
  <si>
    <t xml:space="preserve">EUR</t>
  </si>
  <si>
    <t xml:space="preserve">/Deductible </t>
  </si>
  <si>
    <t xml:space="preserve">Інформація про Страховика / Information about Insurer</t>
  </si>
  <si>
    <t xml:space="preserve">Товариство з додатковою відповідальністю «Страхова компанія «Гардіан» (код ЄДРПОУ 35417298), Місцезнаходження: 01032, м. Київ, вул. Саксаганського, 96</t>
  </si>
  <si>
    <t xml:space="preserve">/ GUARDIAN Insurance company (Additional liability company), 96, Saksaganskogo str., Kyiv, 01032, Ukraine; http://www.grdn.com.ua </t>
  </si>
  <si>
    <t xml:space="preserve">У разі необхідності надання страховій компанії додаткової інформації про моє захворювання, я надаю право лікарям надати будь-яку інформацію стосовно мене та/чи Застрахованої особи, навіть ту, що входить до лікарської таємниці. / In the case of necessity of providing the Insurance company with additional information about my disease, I give the right to doctors to give any information about me and/ or about the Insured person, including information which is a medical secret.</t>
  </si>
  <si>
    <t xml:space="preserve">Місце печатки / 
Seal</t>
  </si>
  <si>
    <t xml:space="preserve">З Правилами, умовами страхування, групою ризику ознайомлені та згодні. Застраховані особи не є особами, зазначеними у п.1.4. Договору.  /  I am acquainted and agree with the Rules, terms of insurance, and risk group. Insured persons are not the persons mentioned in item 1.4. of the Contract.</t>
  </si>
  <si>
    <t xml:space="preserve">________________________  Страхувальник / Insured</t>
  </si>
  <si>
    <t xml:space="preserve">Додаткові умови страхування / Insurance endorsement</t>
  </si>
  <si>
    <t xml:space="preserve">Застраховано/
insured by COVID-19 </t>
  </si>
  <si>
    <t xml:space="preserve">____________________  Страховик / Insurer  </t>
  </si>
  <si>
    <t xml:space="preserve">УВАГА! Ми радимо лікарям перед початком лікування звернути увагу на перелік витрат, що не відшкодовуються Страховиком згідно з умовами страхування./  </t>
  </si>
  <si>
    <t xml:space="preserve">ATTENTION! Before the beginning of the treatment we advise doctor to pay the attention to the list of expenses that are not reimbursed by the Insurer according to the terms of the insurance.</t>
  </si>
  <si>
    <t xml:space="preserve">Контактна інформація у разі настання страхового випадку/Contact information in case of an insured event: Телефон/Tel.: +380 44 500 14 00    Viber: +380 93 702 8555    E-mail: claim@calltravel.eu      </t>
  </si>
  <si>
    <t xml:space="preserve">                                                                                                                                                                                    W</t>
  </si>
  <si>
    <t xml:space="preserve">Тарифи за програмою А (work)</t>
  </si>
  <si>
    <t xml:space="preserve">добровільного комплексного страхування під час перебування за кордоном</t>
  </si>
  <si>
    <t xml:space="preserve">за Програмою А (work)  </t>
  </si>
  <si>
    <r>
      <rPr>
        <sz val="10"/>
        <rFont val="Arial Cyr"/>
        <family val="0"/>
        <charset val="204"/>
      </rPr>
      <t xml:space="preserve"> </t>
    </r>
    <r>
      <rPr>
        <b val="true"/>
        <sz val="10"/>
        <rFont val="Arial Cyr"/>
        <family val="0"/>
        <charset val="204"/>
      </rPr>
      <t xml:space="preserve">1. </t>
    </r>
    <r>
      <rPr>
        <sz val="10"/>
        <rFont val="Arial Cyr"/>
        <family val="0"/>
        <charset val="204"/>
      </rPr>
      <t xml:space="preserve">Базові умови страхування по добровільному страхуванню медичних витрат:</t>
    </r>
  </si>
  <si>
    <t xml:space="preserve">Територія дії Договору – Європа;</t>
  </si>
  <si>
    <t xml:space="preserve">Застраховані особи – особи віком від 18 до 59 років;</t>
  </si>
  <si>
    <t xml:space="preserve">Застраховані особи – особи віком від 60 до 65 років приймаються на страхування з коефіцієнтом 2;</t>
  </si>
  <si>
    <t xml:space="preserve">Застраховані особи – особи віком від 66 до 70 років приймаються на страхування з коефіцієнтом 4;</t>
  </si>
  <si>
    <t xml:space="preserve">Загальний строк дії договору страхування – 365/366(високосний рік) діб;</t>
  </si>
  <si>
    <t xml:space="preserve">Програма страхування – «А (work)»;</t>
  </si>
  <si>
    <t xml:space="preserve">Розмір страхової суми – 30 000,00 Євро.</t>
  </si>
  <si>
    <r>
      <rPr>
        <b val="true"/>
        <sz val="10"/>
        <rFont val="Arial Cyr"/>
        <family val="0"/>
        <charset val="204"/>
      </rPr>
      <t xml:space="preserve">2.</t>
    </r>
    <r>
      <rPr>
        <sz val="10"/>
        <rFont val="Arial Cyr"/>
        <family val="0"/>
        <charset val="204"/>
      </rPr>
      <t xml:space="preserve"> Мінімальні тарифи в залежності від терміну страхового покриття та розміру </t>
    </r>
  </si>
  <si>
    <t xml:space="preserve">франшизи:</t>
  </si>
  <si>
    <t xml:space="preserve">франшиза</t>
  </si>
  <si>
    <t xml:space="preserve">вартість, грн.</t>
  </si>
  <si>
    <t xml:space="preserve">0 Євро</t>
  </si>
  <si>
    <t xml:space="preserve">50 Євро</t>
  </si>
  <si>
    <t xml:space="preserve">100 Євро</t>
  </si>
  <si>
    <t xml:space="preserve">150 Євро</t>
  </si>
  <si>
    <t xml:space="preserve">365/366</t>
  </si>
  <si>
    <t xml:space="preserve">Територія дії страхування</t>
  </si>
  <si>
    <t xml:space="preserve">Європа / Europe</t>
  </si>
  <si>
    <t xml:space="preserve">Весь світ / Worldwide</t>
  </si>
  <si>
    <t xml:space="preserve">СНД / CIS</t>
  </si>
  <si>
    <t xml:space="preserve">Постачальник:</t>
  </si>
  <si>
    <t xml:space="preserve">ТДВ «Страхова компанія «ГАРДІАН»</t>
  </si>
  <si>
    <t xml:space="preserve">ЄДРПОУ 35417298</t>
  </si>
  <si>
    <t xml:space="preserve">Адреса: 01032, м. Київ, вул. Саксаганського, буд. 96, тел./факс 044 333 37 10</t>
  </si>
  <si>
    <t xml:space="preserve"> Банківські реквізити:                п/р                                                                </t>
  </si>
  <si>
    <t xml:space="preserve">UA603052990000026508016800294</t>
  </si>
  <si>
    <t xml:space="preserve"> в ПАТ КБ «ПРИВАТБАНК» </t>
  </si>
  <si>
    <t xml:space="preserve">Рахунок - фактура</t>
  </si>
  <si>
    <t xml:space="preserve">від </t>
  </si>
  <si>
    <t xml:space="preserve">Одержувач:</t>
  </si>
  <si>
    <t xml:space="preserve">Платник:</t>
  </si>
  <si>
    <t xml:space="preserve"> </t>
  </si>
  <si>
    <t xml:space="preserve">№</t>
  </si>
  <si>
    <t xml:space="preserve">Призначення платежу</t>
  </si>
  <si>
    <t xml:space="preserve">Сума без
ПДВ</t>
  </si>
  <si>
    <t xml:space="preserve">Сплата страхового платежу згідно договору страхування</t>
  </si>
  <si>
    <t xml:space="preserve">№ ВЗК-</t>
  </si>
  <si>
    <t xml:space="preserve">ХХХХХХХХХХХХ</t>
  </si>
  <si>
    <t xml:space="preserve">-W</t>
  </si>
  <si>
    <t xml:space="preserve">від</t>
  </si>
  <si>
    <t xml:space="preserve">ПДВ не обкладається</t>
  </si>
  <si>
    <t xml:space="preserve">Всього :</t>
  </si>
  <si>
    <t xml:space="preserve">Разом (прописом):   </t>
  </si>
  <si>
    <t xml:space="preserve">Виписав (ла):</t>
  </si>
</sst>
</file>

<file path=xl/styles.xml><?xml version="1.0" encoding="utf-8"?>
<styleSheet xmlns="http://schemas.openxmlformats.org/spreadsheetml/2006/main">
  <numFmts count="10">
    <numFmt numFmtId="164" formatCode="General"/>
    <numFmt numFmtId="165" formatCode="@"/>
    <numFmt numFmtId="166" formatCode="m/d/yyyy"/>
    <numFmt numFmtId="167" formatCode="0"/>
    <numFmt numFmtId="168" formatCode="General"/>
    <numFmt numFmtId="169" formatCode="#,##0"/>
    <numFmt numFmtId="170" formatCode="0.0000"/>
    <numFmt numFmtId="171" formatCode="0.00"/>
    <numFmt numFmtId="172" formatCode="0%"/>
    <numFmt numFmtId="173" formatCode="#,##0.00"/>
  </numFmts>
  <fonts count="53">
    <font>
      <sz val="10"/>
      <name val="Arial Cyr"/>
      <family val="0"/>
      <charset val="204"/>
    </font>
    <font>
      <sz val="10"/>
      <name val="Arial"/>
      <family val="0"/>
    </font>
    <font>
      <sz val="10"/>
      <name val="Arial"/>
      <family val="0"/>
    </font>
    <font>
      <sz val="10"/>
      <name val="Arial"/>
      <family val="0"/>
    </font>
    <font>
      <sz val="12"/>
      <name val="Arial"/>
      <family val="2"/>
      <charset val="204"/>
    </font>
    <font>
      <b val="true"/>
      <sz val="12"/>
      <name val="Arial"/>
      <family val="2"/>
      <charset val="204"/>
    </font>
    <font>
      <b val="true"/>
      <sz val="12"/>
      <color rgb="FFC00000"/>
      <name val="Arial"/>
      <family val="2"/>
      <charset val="204"/>
    </font>
    <font>
      <b val="true"/>
      <sz val="7"/>
      <color rgb="FFC00000"/>
      <name val="Arial"/>
      <family val="2"/>
      <charset val="204"/>
    </font>
    <font>
      <b val="true"/>
      <sz val="10"/>
      <name val="Arial"/>
      <family val="2"/>
      <charset val="204"/>
    </font>
    <font>
      <sz val="12"/>
      <color rgb="FFC00000"/>
      <name val="Arial"/>
      <family val="2"/>
      <charset val="204"/>
    </font>
    <font>
      <b val="true"/>
      <i val="true"/>
      <sz val="12"/>
      <name val="Arial"/>
      <family val="2"/>
      <charset val="204"/>
    </font>
    <font>
      <b val="true"/>
      <sz val="12"/>
      <color rgb="FFFF0000"/>
      <name val="Arial"/>
      <family val="2"/>
      <charset val="204"/>
    </font>
    <font>
      <sz val="12"/>
      <color rgb="FFFF0000"/>
      <name val="Arial"/>
      <family val="2"/>
      <charset val="204"/>
    </font>
    <font>
      <sz val="1"/>
      <color rgb="FFFFFFFF"/>
      <name val="Arial"/>
      <family val="2"/>
      <charset val="204"/>
    </font>
    <font>
      <b val="true"/>
      <i val="true"/>
      <sz val="1"/>
      <color rgb="FFFFFFFF"/>
      <name val="Arial"/>
      <family val="2"/>
      <charset val="204"/>
    </font>
    <font>
      <b val="true"/>
      <sz val="1"/>
      <color rgb="FFFFFFFF"/>
      <name val="Arial"/>
      <family val="2"/>
      <charset val="204"/>
    </font>
    <font>
      <sz val="11"/>
      <color rgb="FFFF0000"/>
      <name val="Arial"/>
      <family val="2"/>
      <charset val="204"/>
    </font>
    <font>
      <sz val="9"/>
      <color rgb="FF000000"/>
      <name val="Times New Roman"/>
      <family val="0"/>
    </font>
    <font>
      <b val="true"/>
      <sz val="11"/>
      <color rgb="FF000000"/>
      <name val="Calibri"/>
      <family val="0"/>
    </font>
    <font>
      <sz val="12"/>
      <color rgb="FF000000"/>
      <name val="Calibri"/>
      <family val="0"/>
    </font>
    <font>
      <b val="true"/>
      <i val="true"/>
      <sz val="11"/>
      <color rgb="FF000000"/>
      <name val="Calibri"/>
      <family val="0"/>
    </font>
    <font>
      <sz val="5"/>
      <name val="Calibri"/>
      <family val="2"/>
      <charset val="204"/>
    </font>
    <font>
      <sz val="14"/>
      <name val="Calibri"/>
      <family val="2"/>
      <charset val="204"/>
    </font>
    <font>
      <sz val="6"/>
      <name val="Calibri"/>
      <family val="2"/>
      <charset val="204"/>
    </font>
    <font>
      <b val="true"/>
      <sz val="6"/>
      <name val="Calibri"/>
      <family val="2"/>
      <charset val="204"/>
    </font>
    <font>
      <sz val="5.5"/>
      <name val="Calibri"/>
      <family val="2"/>
      <charset val="204"/>
    </font>
    <font>
      <b val="true"/>
      <sz val="8"/>
      <name val="Calibri"/>
      <family val="2"/>
      <charset val="204"/>
    </font>
    <font>
      <b val="true"/>
      <sz val="7"/>
      <name val="Calibri"/>
      <family val="2"/>
      <charset val="204"/>
    </font>
    <font>
      <b val="true"/>
      <sz val="5.5"/>
      <name val="Calibri"/>
      <family val="2"/>
      <charset val="204"/>
    </font>
    <font>
      <sz val="7"/>
      <name val="Calibri"/>
      <family val="2"/>
      <charset val="204"/>
    </font>
    <font>
      <b val="true"/>
      <sz val="4"/>
      <name val="Calibri"/>
      <family val="2"/>
      <charset val="204"/>
    </font>
    <font>
      <b val="true"/>
      <sz val="10"/>
      <name val="Calibri"/>
      <family val="2"/>
      <charset val="204"/>
    </font>
    <font>
      <b val="true"/>
      <sz val="5"/>
      <name val="Calibri"/>
      <family val="2"/>
      <charset val="204"/>
    </font>
    <font>
      <b val="true"/>
      <sz val="6.5"/>
      <name val="Calibri"/>
      <family val="2"/>
      <charset val="204"/>
    </font>
    <font>
      <b val="true"/>
      <sz val="10"/>
      <name val="Arial Cyr"/>
      <family val="0"/>
      <charset val="204"/>
    </font>
    <font>
      <b val="true"/>
      <u val="single"/>
      <sz val="10"/>
      <name val="Arial Cyr"/>
      <family val="0"/>
      <charset val="204"/>
    </font>
    <font>
      <sz val="10"/>
      <color rgb="FFFF0000"/>
      <name val="Arial Cyr"/>
      <family val="0"/>
      <charset val="204"/>
    </font>
    <font>
      <sz val="14"/>
      <name val="Times New Roman"/>
      <family val="1"/>
      <charset val="204"/>
    </font>
    <font>
      <b val="true"/>
      <sz val="18"/>
      <name val="Times New Roman"/>
      <family val="1"/>
      <charset val="204"/>
    </font>
    <font>
      <b val="true"/>
      <sz val="14"/>
      <name val="Times New Roman"/>
      <family val="1"/>
      <charset val="204"/>
    </font>
    <font>
      <sz val="18"/>
      <name val="Times New Roman"/>
      <family val="1"/>
      <charset val="204"/>
    </font>
    <font>
      <b val="true"/>
      <sz val="12"/>
      <color rgb="FFFF0000"/>
      <name val="Verdana"/>
      <family val="2"/>
      <charset val="204"/>
    </font>
    <font>
      <b val="true"/>
      <sz val="12"/>
      <color rgb="FFFF0000"/>
      <name val="Arial Cyr"/>
      <family val="0"/>
      <charset val="204"/>
    </font>
    <font>
      <b val="true"/>
      <sz val="8"/>
      <name val="Arial"/>
      <family val="2"/>
      <charset val="204"/>
    </font>
    <font>
      <b val="true"/>
      <i val="true"/>
      <sz val="10"/>
      <name val="Arial"/>
      <family val="2"/>
      <charset val="204"/>
    </font>
    <font>
      <b val="true"/>
      <i val="true"/>
      <sz val="10"/>
      <color rgb="FFFF0000"/>
      <name val="Arial"/>
      <family val="2"/>
      <charset val="204"/>
    </font>
    <font>
      <b val="true"/>
      <sz val="14"/>
      <name val="Arial"/>
      <family val="2"/>
      <charset val="204"/>
    </font>
    <font>
      <sz val="10"/>
      <name val="Arial"/>
      <family val="2"/>
      <charset val="204"/>
    </font>
    <font>
      <sz val="11"/>
      <name val="Arial"/>
      <family val="2"/>
      <charset val="204"/>
    </font>
    <font>
      <sz val="10"/>
      <color rgb="FFFF0000"/>
      <name val="Arial"/>
      <family val="2"/>
      <charset val="204"/>
    </font>
    <font>
      <sz val="10"/>
      <color rgb="FF000000"/>
      <name val="Arial"/>
      <family val="2"/>
      <charset val="204"/>
    </font>
    <font>
      <b val="true"/>
      <sz val="9"/>
      <name val="Arial"/>
      <family val="2"/>
      <charset val="204"/>
    </font>
    <font>
      <b val="true"/>
      <i val="true"/>
      <u val="single"/>
      <sz val="10"/>
      <name val="Arial"/>
      <family val="2"/>
      <charset val="204"/>
    </font>
  </fonts>
  <fills count="9">
    <fill>
      <patternFill patternType="none"/>
    </fill>
    <fill>
      <patternFill patternType="gray125"/>
    </fill>
    <fill>
      <patternFill patternType="solid">
        <fgColor rgb="FF93CDDD"/>
        <bgColor rgb="FFB7DEE8"/>
      </patternFill>
    </fill>
    <fill>
      <patternFill patternType="solid">
        <fgColor rgb="FFD9D9D9"/>
        <bgColor rgb="FFB7DEE8"/>
      </patternFill>
    </fill>
    <fill>
      <patternFill patternType="solid">
        <fgColor rgb="FFFFFF00"/>
        <bgColor rgb="FFFFFF00"/>
      </patternFill>
    </fill>
    <fill>
      <patternFill patternType="solid">
        <fgColor rgb="FFB3A2C7"/>
        <bgColor rgb="FFC0C0C0"/>
      </patternFill>
    </fill>
    <fill>
      <patternFill patternType="solid">
        <fgColor rgb="FFB7DEE8"/>
        <bgColor rgb="FFD9D9D9"/>
      </patternFill>
    </fill>
    <fill>
      <patternFill patternType="solid">
        <fgColor rgb="FFFFFFFF"/>
        <bgColor rgb="FFFFFFCC"/>
      </patternFill>
    </fill>
    <fill>
      <patternFill patternType="solid">
        <fgColor rgb="FFC0C0C0"/>
        <bgColor rgb="FFB3A2C7"/>
      </patternFill>
    </fill>
  </fills>
  <borders count="24">
    <border diagonalUp="false" diagonalDown="false">
      <left/>
      <right/>
      <top/>
      <bottom/>
      <diagonal/>
    </border>
    <border diagonalUp="false" diagonalDown="false">
      <left style="thin"/>
      <right/>
      <top/>
      <bottom/>
      <diagonal/>
    </border>
    <border diagonalUp="false" diagonalDown="false">
      <left style="thin"/>
      <right/>
      <top style="thin"/>
      <bottom style="thin"/>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right style="thin"/>
      <top style="thin"/>
      <bottom style="thin"/>
      <diagonal/>
    </border>
    <border diagonalUp="false" diagonalDown="false">
      <left/>
      <right/>
      <top style="thin"/>
      <bottom style="thin"/>
      <diagonal/>
    </border>
    <border diagonalUp="false" diagonalDown="false">
      <left style="thin"/>
      <right style="thin"/>
      <top/>
      <bottom style="thin"/>
      <diagonal/>
    </border>
    <border diagonalUp="false" diagonalDown="false">
      <left style="medium"/>
      <right style="medium"/>
      <top style="medium"/>
      <bottom style="medium"/>
      <diagonal/>
    </border>
    <border diagonalUp="false" diagonalDown="false">
      <left/>
      <right/>
      <top/>
      <bottom style="thin"/>
      <diagonal/>
    </border>
    <border diagonalUp="false" diagonalDown="false">
      <left style="thin"/>
      <right style="thin"/>
      <top style="thin"/>
      <bottom/>
      <diagonal/>
    </border>
    <border diagonalUp="false" diagonalDown="false">
      <left style="thin"/>
      <right/>
      <top style="thin"/>
      <bottom/>
      <diagonal/>
    </border>
    <border diagonalUp="false" diagonalDown="false">
      <left/>
      <right style="thin"/>
      <top/>
      <bottom style="thin"/>
      <diagonal/>
    </border>
    <border diagonalUp="false" diagonalDown="false">
      <left style="thin"/>
      <right/>
      <top/>
      <bottom style="thin"/>
      <diagonal/>
    </border>
    <border diagonalUp="false" diagonalDown="false">
      <left style="thin"/>
      <right style="thin"/>
      <top/>
      <bottom/>
      <diagonal/>
    </border>
    <border diagonalUp="false" diagonalDown="false">
      <left/>
      <right style="thin"/>
      <top/>
      <bottom/>
      <diagonal/>
    </border>
    <border diagonalUp="false" diagonalDown="false">
      <left/>
      <right/>
      <top style="thin"/>
      <bottom/>
      <diagonal/>
    </border>
    <border diagonalUp="false" diagonalDown="false">
      <left/>
      <right style="medium"/>
      <top style="medium"/>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right style="medium"/>
      <top style="thin"/>
      <bottom/>
      <diagonal/>
    </border>
    <border diagonalUp="false" diagonalDown="false">
      <left/>
      <right style="medium"/>
      <top/>
      <bottom/>
      <diagonal/>
    </border>
    <border diagonalUp="false" diagonalDown="false">
      <left style="medium"/>
      <right/>
      <top/>
      <bottom/>
      <diagonal/>
    </border>
    <border diagonalUp="false" diagonalDown="false">
      <left style="medium"/>
      <right style="thin"/>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23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false" indent="0" shrinkToFit="false"/>
      <protection locked="true" hidden="false"/>
    </xf>
    <xf numFmtId="164" fontId="5" fillId="2" borderId="2" xfId="0" applyFont="true" applyBorder="true" applyAlignment="false" applyProtection="false">
      <alignment horizontal="general" vertical="bottom" textRotation="0" wrapText="false" indent="0" shrinkToFit="false"/>
      <protection locked="true" hidden="false"/>
    </xf>
    <xf numFmtId="164" fontId="6" fillId="3" borderId="3" xfId="0" applyFont="true" applyBorder="true" applyAlignment="false" applyProtection="true">
      <alignment horizontal="general" vertical="bottom" textRotation="0" wrapText="false" indent="0" shrinkToFit="false"/>
      <protection locked="false" hidden="false"/>
    </xf>
    <xf numFmtId="164" fontId="5" fillId="2" borderId="4" xfId="0" applyFont="true" applyBorder="true" applyAlignment="true" applyProtection="true">
      <alignment horizontal="center" vertical="bottom" textRotation="0" wrapText="false" indent="0" shrinkToFit="false"/>
      <protection locked="true" hidden="false"/>
    </xf>
    <xf numFmtId="165" fontId="6" fillId="3" borderId="3" xfId="0" applyFont="true" applyBorder="true" applyAlignment="true" applyProtection="true">
      <alignment horizontal="left" vertical="bottom" textRotation="0" wrapText="false" indent="0" shrinkToFit="false"/>
      <protection locked="false" hidden="false"/>
    </xf>
    <xf numFmtId="164" fontId="4" fillId="2" borderId="0" xfId="0" applyFont="true" applyBorder="true" applyAlignment="false" applyProtection="true">
      <alignment horizontal="general" vertical="bottom" textRotation="0" wrapText="false" indent="0" shrinkToFit="false"/>
      <protection locked="true" hidden="false"/>
    </xf>
    <xf numFmtId="164" fontId="5" fillId="2" borderId="0" xfId="0" applyFont="true" applyBorder="true" applyAlignment="true" applyProtection="true">
      <alignment horizontal="center" vertical="bottom" textRotation="0" wrapText="false" indent="0" shrinkToFit="false"/>
      <protection locked="true" hidden="false"/>
    </xf>
    <xf numFmtId="164" fontId="5" fillId="2" borderId="3" xfId="0" applyFont="true" applyBorder="true" applyAlignment="true" applyProtection="true">
      <alignment horizontal="center" vertical="center" textRotation="0" wrapText="false" indent="0" shrinkToFit="false"/>
      <protection locked="true" hidden="false"/>
    </xf>
    <xf numFmtId="166" fontId="6" fillId="3" borderId="3" xfId="0" applyFont="true" applyBorder="true" applyAlignment="true" applyProtection="true">
      <alignment horizontal="left" vertical="bottom" textRotation="0" wrapText="false" indent="0" shrinkToFit="false"/>
      <protection locked="false" hidden="false"/>
    </xf>
    <xf numFmtId="164" fontId="5" fillId="2" borderId="5" xfId="0" applyFont="true" applyBorder="true" applyAlignment="true" applyProtection="true">
      <alignment horizontal="center" vertical="bottom" textRotation="0" wrapText="false" indent="0" shrinkToFit="false"/>
      <protection locked="true" hidden="false"/>
    </xf>
    <xf numFmtId="164" fontId="5" fillId="2" borderId="2" xfId="0" applyFont="true" applyBorder="true" applyAlignment="true" applyProtection="true">
      <alignment horizontal="center" vertical="bottom" textRotation="0" wrapText="false" indent="0" shrinkToFit="false"/>
      <protection locked="true" hidden="false"/>
    </xf>
    <xf numFmtId="167" fontId="6" fillId="3" borderId="3" xfId="0" applyFont="true" applyBorder="true" applyAlignment="true" applyProtection="true">
      <alignment horizontal="center" vertical="bottom" textRotation="0" wrapText="false" indent="0" shrinkToFit="false"/>
      <protection locked="false" hidden="false"/>
    </xf>
    <xf numFmtId="164" fontId="6" fillId="3" borderId="3" xfId="0" applyFont="true" applyBorder="true" applyAlignment="true" applyProtection="true">
      <alignment horizontal="center" vertical="bottom" textRotation="0" wrapText="false" indent="0" shrinkToFit="false"/>
      <protection locked="false" hidden="false"/>
    </xf>
    <xf numFmtId="164" fontId="6" fillId="3" borderId="5" xfId="0" applyFont="true" applyBorder="true" applyAlignment="true" applyProtection="true">
      <alignment horizontal="center" vertical="bottom" textRotation="0" wrapText="false" indent="0" shrinkToFit="false"/>
      <protection locked="false" hidden="false"/>
    </xf>
    <xf numFmtId="164" fontId="7" fillId="3" borderId="2" xfId="0" applyFont="true" applyBorder="true" applyAlignment="true" applyProtection="true">
      <alignment horizontal="general" vertical="bottom" textRotation="0" wrapText="false" indent="0" shrinkToFit="false"/>
      <protection locked="false" hidden="false"/>
    </xf>
    <xf numFmtId="164" fontId="7" fillId="3" borderId="6" xfId="0" applyFont="true" applyBorder="true" applyAlignment="true" applyProtection="true">
      <alignment horizontal="general" vertical="bottom" textRotation="0" wrapText="false" indent="0" shrinkToFit="false"/>
      <protection locked="false" hidden="false"/>
    </xf>
    <xf numFmtId="164" fontId="7" fillId="3" borderId="5" xfId="0" applyFont="true" applyBorder="true" applyAlignment="true" applyProtection="true">
      <alignment horizontal="general" vertical="bottom" textRotation="0" wrapText="false" indent="0" shrinkToFit="false"/>
      <protection locked="false" hidden="false"/>
    </xf>
    <xf numFmtId="164" fontId="5" fillId="3" borderId="2" xfId="0" applyFont="true" applyBorder="true" applyAlignment="false" applyProtection="false">
      <alignment horizontal="general" vertical="bottom" textRotation="0" wrapText="false" indent="0" shrinkToFit="false"/>
      <protection locked="true" hidden="false"/>
    </xf>
    <xf numFmtId="164" fontId="5" fillId="0" borderId="7" xfId="0" applyFont="true" applyBorder="true" applyAlignment="tru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5" fillId="2" borderId="3"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true" applyAlignment="true" applyProtection="false">
      <alignment horizontal="center" vertical="bottom" textRotation="0" wrapText="false" indent="0" shrinkToFit="false"/>
      <protection locked="true" hidden="false"/>
    </xf>
    <xf numFmtId="164" fontId="4" fillId="4" borderId="0" xfId="0" applyFont="true" applyBorder="false" applyAlignment="false" applyProtection="true">
      <alignment horizontal="general" vertical="bottom" textRotation="0" wrapText="false" indent="0" shrinkToFit="false"/>
      <protection locked="true" hidden="true"/>
    </xf>
    <xf numFmtId="167" fontId="4" fillId="4" borderId="0" xfId="0" applyFont="true" applyBorder="false" applyAlignment="true" applyProtection="true">
      <alignment horizontal="left" vertical="bottom" textRotation="0" wrapText="false" indent="0" shrinkToFit="false"/>
      <protection locked="true" hidden="true"/>
    </xf>
    <xf numFmtId="164" fontId="4" fillId="0" borderId="0" xfId="0" applyFont="true" applyBorder="true" applyAlignment="tru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2" xfId="0" applyFont="true" applyBorder="true" applyAlignment="true" applyProtection="false">
      <alignment horizontal="left" vertical="bottom" textRotation="0" wrapText="false" indent="0" shrinkToFit="false"/>
      <protection locked="true" hidden="false"/>
    </xf>
    <xf numFmtId="164" fontId="8" fillId="2" borderId="3" xfId="0" applyFont="true" applyBorder="true" applyAlignment="true" applyProtection="false">
      <alignment horizontal="left" vertical="bottom"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8" fontId="6" fillId="3" borderId="3" xfId="0" applyFont="true" applyBorder="true" applyAlignment="true" applyProtection="true">
      <alignment horizontal="general" vertical="bottom" textRotation="0" wrapText="false" indent="0" shrinkToFit="false"/>
      <protection locked="false" hidden="false"/>
    </xf>
    <xf numFmtId="168" fontId="6" fillId="3" borderId="2" xfId="0" applyFont="true" applyBorder="true" applyAlignment="true" applyProtection="true">
      <alignment horizontal="general" vertical="bottom" textRotation="0" wrapText="false" indent="0" shrinkToFit="false"/>
      <protection locked="false" hidden="false"/>
    </xf>
    <xf numFmtId="166" fontId="6" fillId="3" borderId="3" xfId="0" applyFont="true" applyBorder="true" applyAlignment="true" applyProtection="true">
      <alignment horizontal="center" vertical="bottom" textRotation="0" wrapText="false" indent="0" shrinkToFit="false"/>
      <protection locked="false" hidden="false"/>
    </xf>
    <xf numFmtId="166" fontId="5" fillId="0" borderId="0"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9" fillId="3" borderId="3" xfId="0" applyFont="true" applyBorder="true" applyAlignment="true" applyProtection="true">
      <alignment horizontal="general" vertical="bottom" textRotation="0" wrapText="false" indent="0" shrinkToFit="false"/>
      <protection locked="true" hidden="false"/>
    </xf>
    <xf numFmtId="164" fontId="9" fillId="3" borderId="2" xfId="0" applyFont="true" applyBorder="true" applyAlignment="true" applyProtection="true">
      <alignment horizontal="left" vertical="bottom" textRotation="0" wrapText="false" indent="0" shrinkToFit="false"/>
      <protection locked="true" hidden="false"/>
    </xf>
    <xf numFmtId="166" fontId="9" fillId="3" borderId="3" xfId="0" applyFont="true" applyBorder="true" applyAlignment="true" applyProtection="true">
      <alignment horizontal="center" vertical="bottom" textRotation="0" wrapText="false" indent="0" shrinkToFit="false"/>
      <protection locked="true" hidden="false"/>
    </xf>
    <xf numFmtId="165" fontId="9" fillId="3" borderId="2" xfId="0" applyFont="true" applyBorder="true" applyAlignment="true" applyProtection="true">
      <alignment horizontal="left" vertical="bottom" textRotation="0" wrapText="false" indent="0" shrinkToFit="false"/>
      <protection locked="true" hidden="false"/>
    </xf>
    <xf numFmtId="164" fontId="5" fillId="3" borderId="3"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true" applyAlignment="true" applyProtection="false">
      <alignment horizontal="center" vertical="bottom" textRotation="0" wrapText="false" indent="0" shrinkToFit="false"/>
      <protection locked="true" hidden="false"/>
    </xf>
    <xf numFmtId="164" fontId="5" fillId="5" borderId="3" xfId="0" applyFont="true" applyBorder="true" applyAlignment="false" applyProtection="false">
      <alignment horizontal="general" vertical="bottom" textRotation="0" wrapText="false" indent="0" shrinkToFit="false"/>
      <protection locked="true" hidden="false"/>
    </xf>
    <xf numFmtId="169" fontId="4" fillId="0" borderId="3" xfId="0" applyFont="true" applyBorder="true" applyAlignment="true" applyProtection="false">
      <alignment horizontal="left" vertical="top" textRotation="0" wrapText="false" indent="0" shrinkToFit="false"/>
      <protection locked="true" hidden="false"/>
    </xf>
    <xf numFmtId="164" fontId="5" fillId="3" borderId="3"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left" vertical="top" textRotation="0" wrapText="false" indent="0" shrinkToFit="false"/>
      <protection locked="true" hidden="false"/>
    </xf>
    <xf numFmtId="170" fontId="4" fillId="3" borderId="2" xfId="0" applyFont="true" applyBorder="true" applyAlignment="true" applyProtection="false">
      <alignment horizontal="left" vertical="top"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8" fontId="5" fillId="2" borderId="3" xfId="0" applyFont="true" applyBorder="true" applyAlignment="true" applyProtection="true">
      <alignment horizontal="left" vertical="top" textRotation="0" wrapText="false" indent="0" shrinkToFit="false"/>
      <protection locked="true" hidden="true"/>
    </xf>
    <xf numFmtId="167" fontId="6" fillId="2" borderId="8" xfId="0" applyFont="true" applyBorder="true" applyAlignment="true" applyProtection="true">
      <alignment horizontal="center" vertical="bottom" textRotation="0" wrapText="false" indent="0" shrinkToFit="false"/>
      <protection locked="false" hidden="false"/>
    </xf>
    <xf numFmtId="164" fontId="6" fillId="2" borderId="3" xfId="0" applyFont="true" applyBorder="true" applyAlignment="true" applyProtection="true">
      <alignment horizontal="center" vertical="top" textRotation="0" wrapText="false" indent="0" shrinkToFit="false"/>
      <protection locked="true" hidden="true"/>
    </xf>
    <xf numFmtId="171" fontId="6" fillId="2" borderId="3" xfId="0" applyFont="true" applyBorder="true" applyAlignment="true" applyProtection="true">
      <alignment horizontal="left" vertical="top" textRotation="0" wrapText="false" indent="0" shrinkToFit="false"/>
      <protection locked="true" hidden="true"/>
    </xf>
    <xf numFmtId="164" fontId="6" fillId="2" borderId="3" xfId="0" applyFont="true" applyBorder="true" applyAlignment="true" applyProtection="true">
      <alignment horizontal="left" vertical="bottom" textRotation="0" wrapText="false" indent="0" shrinkToFit="false"/>
      <protection locked="true" hidden="true"/>
    </xf>
    <xf numFmtId="168" fontId="6" fillId="2" borderId="3" xfId="0" applyFont="true" applyBorder="true" applyAlignment="true" applyProtection="true">
      <alignment horizontal="left" vertical="top" textRotation="0" wrapText="false" indent="0" shrinkToFit="false"/>
      <protection locked="true" hidden="true"/>
    </xf>
    <xf numFmtId="171" fontId="6" fillId="2" borderId="3" xfId="19" applyFont="true" applyBorder="true" applyAlignment="true" applyProtection="true">
      <alignment horizontal="left" vertical="top" textRotation="0" wrapText="false" indent="0" shrinkToFit="false"/>
      <protection locked="true" hidden="true"/>
    </xf>
    <xf numFmtId="167" fontId="11" fillId="3" borderId="3" xfId="0" applyFont="true" applyBorder="true" applyAlignment="true" applyProtection="true">
      <alignment horizontal="left" vertical="center" textRotation="0" wrapText="false" indent="0" shrinkToFit="false"/>
      <protection locked="false" hidden="false"/>
    </xf>
    <xf numFmtId="164" fontId="5" fillId="2" borderId="3" xfId="0" applyFont="true" applyBorder="true" applyAlignment="true" applyProtection="false">
      <alignment horizontal="general" vertical="center" textRotation="0" wrapText="false" indent="0" shrinkToFit="false"/>
      <protection locked="true" hidden="false"/>
    </xf>
    <xf numFmtId="166" fontId="5" fillId="2" borderId="3" xfId="0" applyFont="true" applyBorder="true" applyAlignment="true" applyProtection="true">
      <alignment horizontal="left" vertical="center" textRotation="0" wrapText="false" indent="0" shrinkToFit="false"/>
      <protection locked="true" hidden="true"/>
    </xf>
    <xf numFmtId="164" fontId="11" fillId="2" borderId="3" xfId="0" applyFont="true" applyBorder="true" applyAlignment="true" applyProtection="false">
      <alignment horizontal="general" vertical="center"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true">
      <alignment horizontal="right" vertical="bottom" textRotation="0" wrapText="false" indent="0" shrinkToFit="false"/>
      <protection locked="true" hidden="true"/>
    </xf>
    <xf numFmtId="164" fontId="14" fillId="0" borderId="0" xfId="0" applyFont="true" applyBorder="false" applyAlignment="true" applyProtection="true">
      <alignment horizontal="center" vertical="bottom" textRotation="0" wrapText="false" indent="0" shrinkToFit="false"/>
      <protection locked="true" hidden="true"/>
    </xf>
    <xf numFmtId="164" fontId="15" fillId="0" borderId="0" xfId="0" applyFont="true" applyBorder="false" applyAlignment="false" applyProtection="false">
      <alignment horizontal="general" vertical="bottom" textRotation="0" wrapText="false" indent="0" shrinkToFit="false"/>
      <protection locked="true" hidden="false"/>
    </xf>
    <xf numFmtId="173" fontId="13" fillId="0" borderId="0" xfId="0" applyFont="true" applyBorder="false" applyAlignment="false" applyProtection="true">
      <alignment horizontal="general" vertical="bottom" textRotation="0" wrapText="false" indent="0" shrinkToFit="false"/>
      <protection locked="true" hidden="true"/>
    </xf>
    <xf numFmtId="173" fontId="13" fillId="0" borderId="0" xfId="0" applyFont="true" applyBorder="false" applyAlignment="true" applyProtection="true">
      <alignment horizontal="center" vertical="bottom" textRotation="0" wrapText="false" indent="0" shrinkToFit="false"/>
      <protection locked="true" hidden="true"/>
    </xf>
    <xf numFmtId="173" fontId="13"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true" applyAlignment="true" applyProtection="false">
      <alignment horizontal="center" vertical="center" textRotation="0" wrapText="true" indent="0" shrinkToFit="false"/>
      <protection locked="true" hidden="false"/>
    </xf>
    <xf numFmtId="168" fontId="15" fillId="0" borderId="0" xfId="0" applyFont="true" applyBorder="false" applyAlignment="false" applyProtection="true">
      <alignment horizontal="general" vertical="bottom" textRotation="0" wrapText="false" indent="0" shrinkToFit="false"/>
      <protection locked="true" hidden="true"/>
    </xf>
    <xf numFmtId="164" fontId="13" fillId="0" borderId="0" xfId="0" applyFont="true" applyBorder="false" applyAlignment="true" applyProtection="true">
      <alignment horizontal="left" vertical="bottom" textRotation="0" wrapText="false" indent="0" shrinkToFit="false"/>
      <protection locked="true" hidden="true"/>
    </xf>
    <xf numFmtId="164" fontId="13" fillId="0" borderId="0" xfId="0" applyFont="true" applyBorder="false" applyAlignment="true" applyProtection="true">
      <alignment horizontal="center" vertical="bottom" textRotation="0" wrapText="false" indent="0" shrinkToFit="false"/>
      <protection locked="true" hidden="true"/>
    </xf>
    <xf numFmtId="164" fontId="13" fillId="0" borderId="0" xfId="0" applyFont="true" applyBorder="fals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true">
      <alignment horizontal="general" vertical="bottom" textRotation="0" wrapText="false" indent="0" shrinkToFit="false"/>
      <protection locked="true" hidden="true"/>
    </xf>
    <xf numFmtId="164" fontId="16" fillId="0" borderId="0" xfId="0" applyFont="true" applyBorder="false" applyAlignment="true" applyProtection="true">
      <alignment horizontal="center" vertical="bottom" textRotation="0" wrapText="false" indent="0" shrinkToFit="false"/>
      <protection locked="true" hidden="true"/>
    </xf>
    <xf numFmtId="164" fontId="16"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false" applyProtection="true">
      <alignment horizontal="general" vertical="bottom" textRotation="0" wrapText="false" indent="0" shrinkToFit="false"/>
      <protection locked="true" hidden="true"/>
    </xf>
    <xf numFmtId="164" fontId="21" fillId="0" borderId="0" xfId="0" applyFont="true" applyBorder="true" applyAlignment="true" applyProtection="true">
      <alignment horizontal="general" vertical="top" textRotation="0" wrapText="false" indent="0" shrinkToFit="false"/>
      <protection locked="true" hidden="true"/>
    </xf>
    <xf numFmtId="164" fontId="22" fillId="0" borderId="0" xfId="0" applyFont="true" applyBorder="true" applyAlignment="true" applyProtection="true">
      <alignment horizontal="center" vertical="center" textRotation="0" wrapText="false" indent="0" shrinkToFit="false"/>
      <protection locked="true" hidden="true"/>
    </xf>
    <xf numFmtId="164" fontId="21" fillId="0" borderId="0" xfId="0" applyFont="true" applyBorder="false" applyAlignment="true" applyProtection="true">
      <alignment horizontal="general" vertical="top" textRotation="0" wrapText="false" indent="0" shrinkToFit="false"/>
      <protection locked="true" hidden="true"/>
    </xf>
    <xf numFmtId="164" fontId="23" fillId="0" borderId="9" xfId="0" applyFont="true" applyBorder="true" applyAlignment="true" applyProtection="true">
      <alignment horizontal="center" vertical="bottom" textRotation="0" wrapText="false" indent="0" shrinkToFit="false"/>
      <protection locked="true" hidden="true"/>
    </xf>
    <xf numFmtId="164" fontId="24" fillId="6" borderId="3" xfId="0" applyFont="true" applyBorder="true" applyAlignment="true" applyProtection="true">
      <alignment horizontal="left" vertical="center" textRotation="0" wrapText="false" indent="0" shrinkToFit="false"/>
      <protection locked="true" hidden="true"/>
    </xf>
    <xf numFmtId="164" fontId="25" fillId="6" borderId="3" xfId="0" applyFont="true" applyBorder="true" applyAlignment="true" applyProtection="true">
      <alignment horizontal="center" vertical="center" textRotation="0" wrapText="true" indent="0" shrinkToFit="false"/>
      <protection locked="true" hidden="true"/>
    </xf>
    <xf numFmtId="167" fontId="26" fillId="0" borderId="10" xfId="0" applyFont="true" applyBorder="true" applyAlignment="true" applyProtection="true">
      <alignment horizontal="center" vertical="center" textRotation="0" wrapText="false" indent="0" shrinkToFit="false"/>
      <protection locked="true" hidden="true"/>
    </xf>
    <xf numFmtId="168" fontId="26" fillId="0" borderId="10" xfId="0" applyFont="true" applyBorder="true" applyAlignment="true" applyProtection="true">
      <alignment horizontal="center" vertical="center" textRotation="0" wrapText="false" indent="0" shrinkToFit="false"/>
      <protection locked="true" hidden="true"/>
    </xf>
    <xf numFmtId="164" fontId="25" fillId="6" borderId="11" xfId="0" applyFont="true" applyBorder="true" applyAlignment="true" applyProtection="true">
      <alignment horizontal="left" vertical="center" textRotation="0" wrapText="true" indent="0" shrinkToFit="false"/>
      <protection locked="true" hidden="true"/>
    </xf>
    <xf numFmtId="168" fontId="27" fillId="0" borderId="3" xfId="0" applyFont="true" applyBorder="true" applyAlignment="true" applyProtection="true">
      <alignment horizontal="center" vertical="center" textRotation="0" wrapText="true" indent="0" shrinkToFit="false"/>
      <protection locked="true" hidden="true"/>
    </xf>
    <xf numFmtId="164" fontId="28" fillId="6" borderId="10" xfId="0" applyFont="true" applyBorder="true" applyAlignment="true" applyProtection="true">
      <alignment horizontal="center" vertical="center" textRotation="0" wrapText="false" indent="0" shrinkToFit="false"/>
      <protection locked="true" hidden="true"/>
    </xf>
    <xf numFmtId="164" fontId="25" fillId="6" borderId="11" xfId="0" applyFont="true" applyBorder="true" applyAlignment="true" applyProtection="true">
      <alignment horizontal="center" vertical="top" textRotation="0" wrapText="false" indent="0" shrinkToFit="false"/>
      <protection locked="true" hidden="true"/>
    </xf>
    <xf numFmtId="164" fontId="25" fillId="6" borderId="10" xfId="0" applyFont="true" applyBorder="true" applyAlignment="true" applyProtection="true">
      <alignment horizontal="center" vertical="top" textRotation="0" wrapText="false" indent="0" shrinkToFit="false"/>
      <protection locked="true" hidden="true"/>
    </xf>
    <xf numFmtId="164" fontId="25" fillId="6" borderId="1" xfId="0" applyFont="true" applyBorder="true" applyAlignment="true" applyProtection="true">
      <alignment horizontal="center" vertical="center" textRotation="0" wrapText="true" indent="0" shrinkToFit="false"/>
      <protection locked="true" hidden="true"/>
    </xf>
    <xf numFmtId="164" fontId="28" fillId="6" borderId="12" xfId="0" applyFont="true" applyBorder="true" applyAlignment="true" applyProtection="true">
      <alignment horizontal="center" vertical="center" textRotation="0" wrapText="false" indent="0" shrinkToFit="false"/>
      <protection locked="true" hidden="true"/>
    </xf>
    <xf numFmtId="164" fontId="24" fillId="0" borderId="3" xfId="0" applyFont="true" applyBorder="true" applyAlignment="true" applyProtection="true">
      <alignment horizontal="general" vertical="center" textRotation="0" wrapText="false" indent="0" shrinkToFit="false"/>
      <protection locked="true" hidden="true"/>
    </xf>
    <xf numFmtId="168" fontId="26" fillId="7" borderId="3" xfId="0" applyFont="true" applyBorder="true" applyAlignment="true" applyProtection="true">
      <alignment horizontal="center" vertical="top" textRotation="0" wrapText="false" indent="0" shrinkToFit="false"/>
      <protection locked="true" hidden="true"/>
    </xf>
    <xf numFmtId="164" fontId="25" fillId="6" borderId="13" xfId="0" applyFont="true" applyBorder="true" applyAlignment="true" applyProtection="true">
      <alignment horizontal="center" vertical="top" textRotation="0" wrapText="false" indent="0" shrinkToFit="false"/>
      <protection locked="true" hidden="true"/>
    </xf>
    <xf numFmtId="164" fontId="25" fillId="6" borderId="7" xfId="0" applyFont="true" applyBorder="true" applyAlignment="true" applyProtection="true">
      <alignment horizontal="center" vertical="top" textRotation="0" wrapText="false" indent="0" shrinkToFit="false"/>
      <protection locked="true" hidden="true"/>
    </xf>
    <xf numFmtId="164" fontId="23" fillId="6" borderId="11" xfId="0" applyFont="true" applyBorder="true" applyAlignment="true" applyProtection="true">
      <alignment horizontal="general" vertical="top" textRotation="0" wrapText="true" indent="0" shrinkToFit="false"/>
      <protection locked="true" hidden="true"/>
    </xf>
    <xf numFmtId="168" fontId="27" fillId="7" borderId="3" xfId="0" applyFont="true" applyBorder="true" applyAlignment="true" applyProtection="true">
      <alignment horizontal="center" vertical="center" textRotation="0" wrapText="false" indent="0" shrinkToFit="false"/>
      <protection locked="true" hidden="true"/>
    </xf>
    <xf numFmtId="164" fontId="23" fillId="6" borderId="0" xfId="0" applyFont="true" applyBorder="true" applyAlignment="true" applyProtection="true">
      <alignment horizontal="general" vertical="center" textRotation="0" wrapText="true" indent="0" shrinkToFit="false"/>
      <protection locked="true" hidden="true"/>
    </xf>
    <xf numFmtId="166" fontId="27" fillId="7" borderId="3" xfId="0" applyFont="true" applyBorder="true" applyAlignment="true" applyProtection="true">
      <alignment horizontal="center" vertical="center" textRotation="0" wrapText="true" indent="0" shrinkToFit="false"/>
      <protection locked="true" hidden="true"/>
    </xf>
    <xf numFmtId="165" fontId="27" fillId="0" borderId="3" xfId="0" applyFont="true" applyBorder="true" applyAlignment="true" applyProtection="true">
      <alignment horizontal="center" vertical="center" textRotation="0" wrapText="false" indent="0" shrinkToFit="false"/>
      <protection locked="true" hidden="true"/>
    </xf>
    <xf numFmtId="164" fontId="23" fillId="6" borderId="1" xfId="0" applyFont="true" applyBorder="true" applyAlignment="true" applyProtection="true">
      <alignment horizontal="center" vertical="top" textRotation="0" wrapText="false" indent="0" shrinkToFit="false"/>
      <protection locked="true" hidden="true"/>
    </xf>
    <xf numFmtId="164" fontId="23" fillId="6" borderId="14" xfId="0" applyFont="true" applyBorder="true" applyAlignment="true" applyProtection="true">
      <alignment horizontal="center" vertical="top" textRotation="0" wrapText="false" indent="0" shrinkToFit="false"/>
      <protection locked="true" hidden="true"/>
    </xf>
    <xf numFmtId="164" fontId="23" fillId="6" borderId="1" xfId="0" applyFont="true" applyBorder="true" applyAlignment="true" applyProtection="true">
      <alignment horizontal="general" vertical="top" textRotation="0" wrapText="true" indent="0" shrinkToFit="false"/>
      <protection locked="true" hidden="true"/>
    </xf>
    <xf numFmtId="164" fontId="25" fillId="6" borderId="3" xfId="0" applyFont="true" applyBorder="true" applyAlignment="true" applyProtection="true">
      <alignment horizontal="general" vertical="center" textRotation="0" wrapText="true" indent="0" shrinkToFit="false"/>
      <protection locked="true" hidden="true"/>
    </xf>
    <xf numFmtId="168" fontId="27" fillId="0" borderId="3" xfId="0" applyFont="true" applyBorder="true" applyAlignment="true" applyProtection="true">
      <alignment horizontal="center" vertical="center" textRotation="0" wrapText="false" indent="0" shrinkToFit="false"/>
      <protection locked="true" hidden="true"/>
    </xf>
    <xf numFmtId="164" fontId="21" fillId="6" borderId="11" xfId="0" applyFont="true" applyBorder="true" applyAlignment="true" applyProtection="true">
      <alignment horizontal="center" vertical="top" textRotation="0" wrapText="false" indent="0" shrinkToFit="false"/>
      <protection locked="true" hidden="true"/>
    </xf>
    <xf numFmtId="164" fontId="21" fillId="6" borderId="11" xfId="0" applyFont="true" applyBorder="true" applyAlignment="true" applyProtection="true">
      <alignment horizontal="left" vertical="top" textRotation="0" wrapText="false" indent="0" shrinkToFit="false"/>
      <protection locked="true" hidden="true"/>
    </xf>
    <xf numFmtId="164" fontId="23" fillId="6" borderId="10" xfId="0" applyFont="true" applyBorder="true" applyAlignment="true" applyProtection="true">
      <alignment horizontal="general" vertical="top" textRotation="0" wrapText="true" indent="0" shrinkToFit="false"/>
      <protection locked="true" hidden="true"/>
    </xf>
    <xf numFmtId="164" fontId="25" fillId="6" borderId="12" xfId="0" applyFont="true" applyBorder="true" applyAlignment="true" applyProtection="true">
      <alignment horizontal="center" vertical="top" textRotation="0" wrapText="false" indent="0" shrinkToFit="false"/>
      <protection locked="true" hidden="true"/>
    </xf>
    <xf numFmtId="171" fontId="27" fillId="0" borderId="3" xfId="0" applyFont="true" applyBorder="true" applyAlignment="true" applyProtection="true">
      <alignment horizontal="center" vertical="center" textRotation="0" wrapText="false" indent="0" shrinkToFit="false"/>
      <protection locked="true" hidden="true"/>
    </xf>
    <xf numFmtId="164" fontId="29" fillId="6" borderId="2" xfId="0" applyFont="true" applyBorder="true" applyAlignment="true" applyProtection="true">
      <alignment horizontal="center" vertical="center" textRotation="0" wrapText="false" indent="0" shrinkToFit="false"/>
      <protection locked="true" hidden="true"/>
    </xf>
    <xf numFmtId="166" fontId="27" fillId="0" borderId="3" xfId="0" applyFont="true" applyBorder="true" applyAlignment="true" applyProtection="true">
      <alignment horizontal="center" vertical="center" textRotation="0" wrapText="false" indent="0" shrinkToFit="false"/>
      <protection locked="true" hidden="true"/>
    </xf>
    <xf numFmtId="164" fontId="21" fillId="6" borderId="1" xfId="0" applyFont="true" applyBorder="true" applyAlignment="true" applyProtection="true">
      <alignment horizontal="left" vertical="top" textRotation="0" wrapText="false" indent="0" shrinkToFit="false"/>
      <protection locked="true" hidden="true"/>
    </xf>
    <xf numFmtId="164" fontId="25" fillId="6" borderId="5" xfId="0" applyFont="true" applyBorder="true" applyAlignment="true" applyProtection="true">
      <alignment horizontal="center" vertical="top" textRotation="0" wrapText="false" indent="0" shrinkToFit="false"/>
      <protection locked="true" hidden="true"/>
    </xf>
    <xf numFmtId="164" fontId="26" fillId="7" borderId="2" xfId="0" applyFont="true" applyBorder="true" applyAlignment="true" applyProtection="true">
      <alignment horizontal="center" vertical="center" textRotation="0" wrapText="false" indent="0" shrinkToFit="false"/>
      <protection locked="true" hidden="true"/>
    </xf>
    <xf numFmtId="164" fontId="28" fillId="7" borderId="3" xfId="0" applyFont="true" applyBorder="true" applyAlignment="true" applyProtection="true">
      <alignment horizontal="center" vertical="center" textRotation="0" wrapText="false" indent="0" shrinkToFit="false"/>
      <protection locked="true" hidden="true"/>
    </xf>
    <xf numFmtId="164" fontId="23" fillId="6" borderId="15" xfId="0" applyFont="true" applyBorder="true" applyAlignment="true" applyProtection="true">
      <alignment horizontal="general" vertical="top" textRotation="0" wrapText="false" indent="0" shrinkToFit="false"/>
      <protection locked="true" hidden="true"/>
    </xf>
    <xf numFmtId="164" fontId="25" fillId="6" borderId="4" xfId="0" applyFont="true" applyBorder="true" applyAlignment="true" applyProtection="true">
      <alignment horizontal="center" vertical="top" textRotation="0" wrapText="false" indent="0" shrinkToFit="false"/>
      <protection locked="true" hidden="true"/>
    </xf>
    <xf numFmtId="164" fontId="23" fillId="6" borderId="10" xfId="0" applyFont="true" applyBorder="true" applyAlignment="true" applyProtection="true">
      <alignment horizontal="center" vertical="center" textRotation="0" wrapText="false" indent="0" shrinkToFit="false"/>
      <protection locked="true" hidden="true"/>
    </xf>
    <xf numFmtId="164" fontId="23" fillId="6" borderId="10" xfId="0" applyFont="true" applyBorder="true" applyAlignment="true" applyProtection="true">
      <alignment horizontal="center" vertical="center" textRotation="0" wrapText="true" indent="0" shrinkToFit="false"/>
      <protection locked="true" hidden="true"/>
    </xf>
    <xf numFmtId="164" fontId="23" fillId="6" borderId="4" xfId="0" applyFont="true" applyBorder="true" applyAlignment="true" applyProtection="true">
      <alignment horizontal="left" vertical="top" textRotation="0" wrapText="false" indent="0" shrinkToFit="false"/>
      <protection locked="true" hidden="true"/>
    </xf>
    <xf numFmtId="164" fontId="23" fillId="6" borderId="7" xfId="0" applyFont="true" applyBorder="true" applyAlignment="true" applyProtection="true">
      <alignment horizontal="center" vertical="center" textRotation="0" wrapText="false" indent="0" shrinkToFit="false"/>
      <protection locked="true" hidden="true"/>
    </xf>
    <xf numFmtId="164" fontId="23" fillId="6" borderId="7" xfId="0" applyFont="true" applyBorder="true" applyAlignment="true" applyProtection="true">
      <alignment horizontal="center" vertical="center" textRotation="0" wrapText="true" indent="0" shrinkToFit="false"/>
      <protection locked="true" hidden="true"/>
    </xf>
    <xf numFmtId="164" fontId="25" fillId="6" borderId="14" xfId="0" applyFont="true" applyBorder="true" applyAlignment="true" applyProtection="true">
      <alignment horizontal="left" vertical="top" textRotation="0" wrapText="false" indent="0" shrinkToFit="false"/>
      <protection locked="true" hidden="true"/>
    </xf>
    <xf numFmtId="168" fontId="28" fillId="0" borderId="1" xfId="0" applyFont="true" applyBorder="true" applyAlignment="true" applyProtection="true">
      <alignment horizontal="center" vertical="top" textRotation="0" wrapText="false" indent="0" shrinkToFit="false"/>
      <protection locked="true" hidden="true"/>
    </xf>
    <xf numFmtId="164" fontId="23" fillId="6" borderId="7" xfId="0" applyFont="true" applyBorder="true" applyAlignment="true" applyProtection="true">
      <alignment horizontal="left" vertical="top" textRotation="0" wrapText="false" indent="0" shrinkToFit="false"/>
      <protection locked="true" hidden="true"/>
    </xf>
    <xf numFmtId="168" fontId="27" fillId="0" borderId="11" xfId="0" applyFont="true" applyBorder="true" applyAlignment="true" applyProtection="true">
      <alignment horizontal="center" vertical="center" textRotation="0" wrapText="false" indent="0" shrinkToFit="false"/>
      <protection locked="true" hidden="true"/>
    </xf>
    <xf numFmtId="168" fontId="27" fillId="0" borderId="10" xfId="0" applyFont="true" applyBorder="true" applyAlignment="true" applyProtection="true">
      <alignment horizontal="center" vertical="center" textRotation="0" wrapText="false" indent="0" shrinkToFit="false"/>
      <protection locked="true" hidden="true"/>
    </xf>
    <xf numFmtId="168" fontId="30" fillId="0" borderId="3" xfId="0" applyFont="true" applyBorder="true" applyAlignment="true" applyProtection="true">
      <alignment horizontal="center" vertical="center" textRotation="0" wrapText="true" indent="0" shrinkToFit="false"/>
      <protection locked="true" hidden="true"/>
    </xf>
    <xf numFmtId="164" fontId="29" fillId="6" borderId="3" xfId="0" applyFont="true" applyBorder="true" applyAlignment="true" applyProtection="true">
      <alignment horizontal="center" vertical="center" textRotation="0" wrapText="true" indent="0" shrinkToFit="false"/>
      <protection locked="true" hidden="true"/>
    </xf>
    <xf numFmtId="164" fontId="31" fillId="0" borderId="3" xfId="0" applyFont="true" applyBorder="true" applyAlignment="true" applyProtection="true">
      <alignment horizontal="center" vertical="center" textRotation="0" wrapText="false" indent="0" shrinkToFit="false"/>
      <protection locked="true" hidden="true"/>
    </xf>
    <xf numFmtId="164" fontId="23" fillId="6" borderId="10" xfId="0" applyFont="true" applyBorder="true" applyAlignment="true" applyProtection="true">
      <alignment horizontal="center" vertical="top" textRotation="0" wrapText="false" indent="0" shrinkToFit="false"/>
      <protection locked="true" hidden="true"/>
    </xf>
    <xf numFmtId="164" fontId="23" fillId="6" borderId="3" xfId="0" applyFont="true" applyBorder="true" applyAlignment="true" applyProtection="true">
      <alignment horizontal="left" vertical="center" textRotation="0" wrapText="true" indent="0" shrinkToFit="false"/>
      <protection locked="true" hidden="true"/>
    </xf>
    <xf numFmtId="164" fontId="30" fillId="0" borderId="3" xfId="0" applyFont="true" applyBorder="true" applyAlignment="true" applyProtection="true">
      <alignment horizontal="center" vertical="center" textRotation="0" wrapText="false" indent="0" shrinkToFit="false"/>
      <protection locked="true" hidden="true"/>
    </xf>
    <xf numFmtId="164" fontId="23" fillId="6" borderId="7" xfId="0" applyFont="true" applyBorder="true" applyAlignment="true" applyProtection="true">
      <alignment horizontal="center" vertical="top" textRotation="0" wrapText="false" indent="0" shrinkToFit="false"/>
      <protection locked="true" hidden="true"/>
    </xf>
    <xf numFmtId="164" fontId="27" fillId="0" borderId="3" xfId="0" applyFont="true" applyBorder="true" applyAlignment="true" applyProtection="true">
      <alignment horizontal="center" vertical="top" textRotation="0" wrapText="false" indent="0" shrinkToFit="false"/>
      <protection locked="true" hidden="true"/>
    </xf>
    <xf numFmtId="164" fontId="24" fillId="6" borderId="3" xfId="0" applyFont="true" applyBorder="true" applyAlignment="true" applyProtection="true">
      <alignment horizontal="left" vertical="top" textRotation="0" wrapText="false" indent="0" shrinkToFit="false"/>
      <protection locked="true" hidden="true"/>
    </xf>
    <xf numFmtId="166" fontId="26" fillId="0" borderId="3" xfId="0" applyFont="true" applyBorder="true" applyAlignment="true" applyProtection="true">
      <alignment horizontal="center" vertical="center" textRotation="0" wrapText="false" indent="0" shrinkToFit="false"/>
      <protection locked="true" hidden="true"/>
    </xf>
    <xf numFmtId="164" fontId="29" fillId="6" borderId="10" xfId="0" applyFont="true" applyBorder="true" applyAlignment="true" applyProtection="true">
      <alignment horizontal="center" vertical="top" textRotation="0" wrapText="false" indent="0" shrinkToFit="false"/>
      <protection locked="true" hidden="true"/>
    </xf>
    <xf numFmtId="169" fontId="26" fillId="0" borderId="2" xfId="0" applyFont="true" applyBorder="true" applyAlignment="true" applyProtection="true">
      <alignment horizontal="center" vertical="center" textRotation="0" wrapText="false" indent="0" shrinkToFit="false"/>
      <protection locked="true" hidden="true"/>
    </xf>
    <xf numFmtId="164" fontId="26" fillId="0" borderId="5" xfId="0" applyFont="true" applyBorder="true" applyAlignment="true" applyProtection="true">
      <alignment horizontal="center" vertical="center" textRotation="0" wrapText="false" indent="0" shrinkToFit="false"/>
      <protection locked="true" hidden="true"/>
    </xf>
    <xf numFmtId="168" fontId="27" fillId="0" borderId="3" xfId="0" applyFont="true" applyBorder="true" applyAlignment="true" applyProtection="true">
      <alignment horizontal="center" vertical="top" textRotation="0" wrapText="false" indent="0" shrinkToFit="false"/>
      <protection locked="true" hidden="true"/>
    </xf>
    <xf numFmtId="166" fontId="27" fillId="0" borderId="3" xfId="0" applyFont="true" applyBorder="true" applyAlignment="true" applyProtection="true">
      <alignment horizontal="center" vertical="top" textRotation="0" wrapText="false" indent="0" shrinkToFit="false"/>
      <protection locked="true" hidden="true"/>
    </xf>
    <xf numFmtId="164" fontId="29" fillId="6" borderId="7" xfId="0" applyFont="true" applyBorder="true" applyAlignment="true" applyProtection="true">
      <alignment horizontal="center" vertical="top" textRotation="0" wrapText="false" indent="0" shrinkToFit="false"/>
      <protection locked="true" hidden="true"/>
    </xf>
    <xf numFmtId="164" fontId="24" fillId="6" borderId="3" xfId="0" applyFont="true" applyBorder="true" applyAlignment="true" applyProtection="true">
      <alignment horizontal="left" vertical="center" textRotation="0" wrapText="false" indent="0" shrinkToFit="false"/>
      <protection locked="true" hidden="true"/>
    </xf>
    <xf numFmtId="164" fontId="23" fillId="6" borderId="14" xfId="0" applyFont="true" applyBorder="true" applyAlignment="true" applyProtection="true">
      <alignment horizontal="left" vertical="top" textRotation="0" wrapText="false" indent="0" shrinkToFit="false"/>
      <protection locked="true" hidden="true"/>
    </xf>
    <xf numFmtId="164" fontId="23" fillId="6" borderId="7" xfId="0" applyFont="true" applyBorder="true" applyAlignment="true" applyProtection="true">
      <alignment horizontal="left" vertical="top" textRotation="0" wrapText="true" indent="0" shrinkToFit="false"/>
      <protection locked="true" hidden="true"/>
    </xf>
    <xf numFmtId="164" fontId="25" fillId="0" borderId="7" xfId="0" applyFont="true" applyBorder="true" applyAlignment="true" applyProtection="true">
      <alignment horizontal="left" vertical="top" textRotation="0" wrapText="true" indent="0" shrinkToFit="false"/>
      <protection locked="true" hidden="true"/>
    </xf>
    <xf numFmtId="164" fontId="25" fillId="0" borderId="10" xfId="0" applyFont="true" applyBorder="true" applyAlignment="true" applyProtection="true">
      <alignment horizontal="center" vertical="center" textRotation="0" wrapText="true" indent="0" shrinkToFit="false"/>
      <protection locked="true" hidden="true"/>
    </xf>
    <xf numFmtId="164" fontId="23" fillId="0" borderId="10" xfId="0" applyFont="true" applyBorder="true" applyAlignment="true" applyProtection="true">
      <alignment horizontal="left" vertical="top" textRotation="0" wrapText="true" indent="0" shrinkToFit="false"/>
      <protection locked="true" hidden="true"/>
    </xf>
    <xf numFmtId="164" fontId="24" fillId="0" borderId="13" xfId="0" applyFont="true" applyBorder="true" applyAlignment="true" applyProtection="true">
      <alignment horizontal="center" vertical="top" textRotation="0" wrapText="true" indent="0" shrinkToFit="false"/>
      <protection locked="true" hidden="true"/>
    </xf>
    <xf numFmtId="164" fontId="32" fillId="0" borderId="3" xfId="0" applyFont="true" applyBorder="true" applyAlignment="true" applyProtection="true">
      <alignment horizontal="center" vertical="center" textRotation="0" wrapText="true" indent="0" shrinkToFit="false"/>
      <protection locked="true" hidden="true"/>
    </xf>
    <xf numFmtId="164" fontId="26" fillId="0" borderId="5" xfId="0" applyFont="true" applyBorder="true" applyAlignment="true" applyProtection="true">
      <alignment horizontal="center" vertical="center" textRotation="0" wrapText="true" indent="0" shrinkToFit="false"/>
      <protection locked="true" hidden="true"/>
    </xf>
    <xf numFmtId="164" fontId="24" fillId="0" borderId="7" xfId="0" applyFont="true" applyBorder="true" applyAlignment="true" applyProtection="true">
      <alignment horizontal="left" vertical="top" textRotation="0" wrapText="true" indent="0" shrinkToFit="false"/>
      <protection locked="true" hidden="true"/>
    </xf>
    <xf numFmtId="164" fontId="33" fillId="0" borderId="10" xfId="0" applyFont="true" applyBorder="true" applyAlignment="true" applyProtection="true">
      <alignment horizontal="center" vertical="top" textRotation="0" wrapText="true" indent="0" shrinkToFit="false"/>
      <protection locked="true" hidden="true"/>
    </xf>
    <xf numFmtId="164" fontId="33" fillId="0" borderId="7" xfId="0" applyFont="true" applyBorder="true" applyAlignment="true" applyProtection="true">
      <alignment horizontal="center" vertical="top" textRotation="0" wrapText="true" indent="0" shrinkToFit="false"/>
      <protection locked="true" hidden="true"/>
    </xf>
    <xf numFmtId="164" fontId="24" fillId="0" borderId="16" xfId="0" applyFont="true" applyBorder="true" applyAlignment="true" applyProtection="true">
      <alignment horizontal="center" vertical="bottom" textRotation="0" wrapText="false" indent="0" shrinkToFit="false"/>
      <protection locked="true" hidden="true"/>
    </xf>
    <xf numFmtId="164" fontId="22" fillId="0" borderId="0" xfId="0" applyFont="true" applyBorder="true" applyAlignment="true" applyProtection="true">
      <alignment horizontal="center" vertical="bottom" textRotation="0" wrapText="false" indent="0" shrinkToFit="false"/>
      <protection locked="true" hidden="true"/>
    </xf>
    <xf numFmtId="164" fontId="23" fillId="0" borderId="0" xfId="0" applyFont="true" applyBorder="true" applyAlignment="true" applyProtection="true">
      <alignment horizontal="center" vertical="bottom" textRotation="0" wrapText="false" indent="0" shrinkToFit="false"/>
      <protection locked="true" hidden="true"/>
    </xf>
    <xf numFmtId="168" fontId="28" fillId="0" borderId="3" xfId="0" applyFont="true" applyBorder="true" applyAlignment="true" applyProtection="true">
      <alignment horizontal="center" vertical="center" textRotation="0" wrapText="false" indent="0" shrinkToFit="false"/>
      <protection locked="true" hidden="true"/>
    </xf>
    <xf numFmtId="164" fontId="34" fillId="0" borderId="0" xfId="0" applyFont="true" applyBorder="false" applyAlignment="true" applyProtection="false">
      <alignment horizontal="general" vertical="center"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true" applyProtection="false">
      <alignment horizontal="general" vertical="center"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6" borderId="8" xfId="0" applyFont="true" applyBorder="true" applyAlignment="true" applyProtection="false">
      <alignment horizontal="center" vertical="center" textRotation="0" wrapText="true" indent="0" shrinkToFit="false"/>
      <protection locked="true" hidden="false"/>
    </xf>
    <xf numFmtId="164" fontId="37" fillId="6" borderId="17" xfId="0" applyFont="true" applyBorder="true" applyAlignment="true" applyProtection="false">
      <alignment horizontal="center" vertical="center" textRotation="0" wrapText="true" indent="0" shrinkToFit="false"/>
      <protection locked="true" hidden="false"/>
    </xf>
    <xf numFmtId="164" fontId="38" fillId="3" borderId="18" xfId="0" applyFont="true" applyBorder="true" applyAlignment="true" applyProtection="false">
      <alignment horizontal="center" vertical="center" textRotation="0" wrapText="true" indent="0" shrinkToFit="false"/>
      <protection locked="true" hidden="false"/>
    </xf>
    <xf numFmtId="164" fontId="39" fillId="3" borderId="18" xfId="0" applyFont="true" applyBorder="true" applyAlignment="true" applyProtection="false">
      <alignment horizontal="center" vertical="center" textRotation="0" wrapText="true" indent="0" shrinkToFit="false"/>
      <protection locked="true" hidden="false"/>
    </xf>
    <xf numFmtId="164" fontId="40" fillId="3" borderId="19" xfId="0" applyFont="true" applyBorder="true" applyAlignment="true" applyProtection="false">
      <alignment horizontal="center" vertical="center" textRotation="0" wrapText="true" indent="0" shrinkToFit="false"/>
      <protection locked="true" hidden="false"/>
    </xf>
    <xf numFmtId="164" fontId="38" fillId="0" borderId="18" xfId="0" applyFont="true" applyBorder="true" applyAlignment="true" applyProtection="false">
      <alignment horizontal="center" vertical="center" textRotation="0" wrapText="true" indent="0" shrinkToFit="false"/>
      <protection locked="true" hidden="false"/>
    </xf>
    <xf numFmtId="164" fontId="40" fillId="0" borderId="19" xfId="0" applyFont="true" applyBorder="true" applyAlignment="true" applyProtection="false">
      <alignment horizontal="center" vertical="center" textRotation="0" wrapText="true" indent="0" shrinkToFit="false"/>
      <protection locked="true" hidden="false"/>
    </xf>
    <xf numFmtId="164" fontId="40" fillId="0" borderId="18" xfId="0" applyFont="true" applyBorder="true" applyAlignment="true" applyProtection="false">
      <alignment horizontal="center" vertical="center" textRotation="0" wrapText="tru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73" fontId="0" fillId="0" borderId="0" xfId="0" applyFont="false" applyBorder="false" applyAlignment="false" applyProtection="false">
      <alignment horizontal="general" vertical="bottom" textRotation="0" wrapText="false" indent="0" shrinkToFit="false"/>
      <protection locked="true" hidden="false"/>
    </xf>
    <xf numFmtId="164" fontId="5" fillId="8" borderId="3"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true"/>
    </xf>
    <xf numFmtId="164" fontId="43" fillId="0" borderId="11" xfId="0" applyFont="true" applyBorder="true" applyAlignment="true" applyProtection="true">
      <alignment horizontal="right" vertical="center" textRotation="0" wrapText="false" indent="0" shrinkToFit="false"/>
      <protection locked="true" hidden="true"/>
    </xf>
    <xf numFmtId="164" fontId="0" fillId="0" borderId="16" xfId="0" applyFont="false" applyBorder="true" applyAlignment="true" applyProtection="true">
      <alignment horizontal="general" vertical="bottom" textRotation="0" wrapText="false" indent="0" shrinkToFit="false"/>
      <protection locked="true" hidden="true"/>
    </xf>
    <xf numFmtId="164" fontId="8" fillId="0" borderId="20" xfId="0" applyFont="true" applyBorder="true" applyAlignment="true" applyProtection="true">
      <alignment horizontal="right" vertical="center" textRotation="0" wrapText="false" indent="0" shrinkToFit="false"/>
      <protection locked="true" hidden="true"/>
    </xf>
    <xf numFmtId="164" fontId="44" fillId="0" borderId="4" xfId="0" applyFont="true" applyBorder="true" applyAlignment="true" applyProtection="true">
      <alignment horizontal="left" vertical="top" textRotation="0" wrapText="true" indent="0" shrinkToFit="false"/>
      <protection locked="true" hidden="true"/>
    </xf>
    <xf numFmtId="164" fontId="0" fillId="0" borderId="1" xfId="0" applyFont="false" applyBorder="true" applyAlignment="true" applyProtection="true">
      <alignment horizontal="general" vertical="bottom" textRotation="0" wrapText="false" indent="0" shrinkToFit="false"/>
      <protection locked="true" hidden="true"/>
    </xf>
    <xf numFmtId="164" fontId="0" fillId="0" borderId="0" xfId="0" applyFont="false" applyBorder="true" applyAlignment="true" applyProtection="true">
      <alignment horizontal="general" vertical="bottom" textRotation="0" wrapText="false" indent="0" shrinkToFit="false"/>
      <protection locked="true" hidden="true"/>
    </xf>
    <xf numFmtId="164" fontId="0" fillId="0" borderId="21" xfId="0" applyFont="false" applyBorder="true" applyAlignment="true" applyProtection="true">
      <alignment horizontal="general" vertical="bottom" textRotation="0" wrapText="false" indent="0" shrinkToFit="false"/>
      <protection locked="true" hidden="true"/>
    </xf>
    <xf numFmtId="164" fontId="44" fillId="0" borderId="15" xfId="0" applyFont="true" applyBorder="true" applyAlignment="true" applyProtection="true">
      <alignment horizontal="general" vertical="bottom" textRotation="0" wrapText="true" indent="0" shrinkToFit="false"/>
      <protection locked="true" hidden="true"/>
    </xf>
    <xf numFmtId="164" fontId="44" fillId="0" borderId="15" xfId="0" applyFont="true" applyBorder="true" applyAlignment="true" applyProtection="true">
      <alignment horizontal="left" vertical="center" textRotation="0" wrapText="true" indent="0" shrinkToFit="false"/>
      <protection locked="true" hidden="true"/>
    </xf>
    <xf numFmtId="164" fontId="44" fillId="0" borderId="22" xfId="0" applyFont="true" applyBorder="true" applyAlignment="true" applyProtection="true">
      <alignment horizontal="left" vertical="center" textRotation="0" wrapText="true" indent="0" shrinkToFit="false"/>
      <protection locked="true" hidden="true"/>
    </xf>
    <xf numFmtId="165" fontId="45" fillId="0" borderId="15" xfId="0" applyFont="true" applyBorder="true" applyAlignment="true" applyProtection="true">
      <alignment horizontal="center" vertical="center" textRotation="0" wrapText="true" indent="0" shrinkToFit="false"/>
      <protection locked="false" hidden="false"/>
    </xf>
    <xf numFmtId="173" fontId="0" fillId="0" borderId="0" xfId="0" applyFont="false" applyBorder="false" applyAlignment="true" applyProtection="true">
      <alignment horizontal="general" vertical="bottom" textRotation="0" wrapText="false" indent="0" shrinkToFit="false"/>
      <protection locked="true" hidden="true"/>
    </xf>
    <xf numFmtId="164" fontId="43" fillId="0" borderId="21" xfId="0" applyFont="true" applyBorder="true" applyAlignment="true" applyProtection="true">
      <alignment horizontal="general" vertical="center" textRotation="0" wrapText="false" indent="0" shrinkToFit="false"/>
      <protection locked="true" hidden="true"/>
    </xf>
    <xf numFmtId="164" fontId="44" fillId="0" borderId="23" xfId="0" applyFont="true" applyBorder="true" applyAlignment="true" applyProtection="true">
      <alignment horizontal="left" vertical="center" textRotation="0" wrapText="true" indent="0" shrinkToFit="false"/>
      <protection locked="true" hidden="true"/>
    </xf>
    <xf numFmtId="164" fontId="0" fillId="0" borderId="9" xfId="0" applyFont="false" applyBorder="true" applyAlignment="true" applyProtection="true">
      <alignment horizontal="general" vertical="bottom" textRotation="0" wrapText="false" indent="0" shrinkToFit="false"/>
      <protection locked="true" hidden="true"/>
    </xf>
    <xf numFmtId="164" fontId="0" fillId="0" borderId="15" xfId="0" applyFont="false" applyBorder="true" applyAlignment="true" applyProtection="true">
      <alignment horizontal="general" vertical="bottom" textRotation="0" wrapText="false" indent="0" shrinkToFit="false"/>
      <protection locked="true" hidden="true"/>
    </xf>
    <xf numFmtId="164" fontId="46" fillId="2" borderId="11" xfId="0" applyFont="true" applyBorder="true" applyAlignment="true" applyProtection="true">
      <alignment horizontal="left" vertical="bottom" textRotation="0" wrapText="false" indent="0" shrinkToFit="false"/>
      <protection locked="true" hidden="true"/>
    </xf>
    <xf numFmtId="164" fontId="46" fillId="2" borderId="16" xfId="0" applyFont="true" applyBorder="true" applyAlignment="true" applyProtection="true">
      <alignment horizontal="left" vertical="bottom" textRotation="0" wrapText="false" indent="0" shrinkToFit="false"/>
      <protection locked="true" hidden="true"/>
    </xf>
    <xf numFmtId="164" fontId="46" fillId="2" borderId="4" xfId="0" applyFont="true" applyBorder="true" applyAlignment="true" applyProtection="true">
      <alignment horizontal="left" vertical="bottom" textRotation="0" wrapText="false" indent="0" shrinkToFit="false"/>
      <protection locked="true" hidden="true"/>
    </xf>
    <xf numFmtId="164" fontId="46" fillId="2" borderId="13" xfId="0" applyFont="true" applyBorder="true" applyAlignment="true" applyProtection="true">
      <alignment horizontal="center" vertical="bottom" textRotation="0" wrapText="false" indent="0" shrinkToFit="false"/>
      <protection locked="true" hidden="true"/>
    </xf>
    <xf numFmtId="166" fontId="46" fillId="2" borderId="9" xfId="0" applyFont="true" applyBorder="true" applyAlignment="true" applyProtection="true">
      <alignment horizontal="left" vertical="bottom" textRotation="0" wrapText="false" indent="0" shrinkToFit="false"/>
      <protection locked="true" hidden="true"/>
    </xf>
    <xf numFmtId="164" fontId="46" fillId="2" borderId="9" xfId="0" applyFont="true" applyBorder="true" applyAlignment="true" applyProtection="true">
      <alignment horizontal="general" vertical="bottom" textRotation="0" wrapText="false" indent="0" shrinkToFit="false"/>
      <protection locked="true" hidden="true"/>
    </xf>
    <xf numFmtId="164" fontId="46" fillId="2" borderId="12" xfId="0" applyFont="true" applyBorder="true" applyAlignment="true" applyProtection="true">
      <alignment horizontal="general" vertical="bottom" textRotation="0" wrapText="false" indent="0" shrinkToFit="false"/>
      <protection locked="true" hidden="true"/>
    </xf>
    <xf numFmtId="164" fontId="8" fillId="0" borderId="1" xfId="0" applyFont="true" applyBorder="true" applyAlignment="true" applyProtection="true">
      <alignment horizontal="left" vertical="top" textRotation="0" wrapText="false" indent="0" shrinkToFit="false"/>
      <protection locked="true" hidden="true"/>
    </xf>
    <xf numFmtId="164" fontId="8" fillId="7" borderId="4" xfId="0" applyFont="true" applyBorder="true" applyAlignment="true" applyProtection="true">
      <alignment horizontal="left" vertical="center" textRotation="0" wrapText="true" indent="0" shrinkToFit="false"/>
      <protection locked="true" hidden="true"/>
    </xf>
    <xf numFmtId="164" fontId="47" fillId="0" borderId="0" xfId="0" applyFont="true" applyBorder="false" applyAlignment="true" applyProtection="true">
      <alignment horizontal="general" vertical="bottom" textRotation="0" wrapText="false" indent="0" shrinkToFit="false"/>
      <protection locked="true" hidden="true"/>
    </xf>
    <xf numFmtId="164" fontId="8" fillId="0" borderId="15" xfId="0" applyFont="true" applyBorder="true" applyAlignment="true" applyProtection="true">
      <alignment horizontal="left" vertical="center" textRotation="0" wrapText="true" indent="0" shrinkToFit="false"/>
      <protection locked="true" hidden="true"/>
    </xf>
    <xf numFmtId="168" fontId="8" fillId="0" borderId="0" xfId="0" applyFont="true" applyBorder="true" applyAlignment="true" applyProtection="true">
      <alignment horizontal="left" vertical="center" textRotation="0" wrapText="true" indent="0" shrinkToFit="false"/>
      <protection locked="true" hidden="true"/>
    </xf>
    <xf numFmtId="164" fontId="47" fillId="0" borderId="0" xfId="0" applyFont="true" applyBorder="true" applyAlignment="true" applyProtection="true">
      <alignment horizontal="general" vertical="bottom" textRotation="0" wrapText="false" indent="0" shrinkToFit="false"/>
      <protection locked="true" hidden="true"/>
    </xf>
    <xf numFmtId="164" fontId="47" fillId="0" borderId="15" xfId="0" applyFont="true" applyBorder="true" applyAlignment="true" applyProtection="true">
      <alignment horizontal="left" vertical="center" textRotation="0" wrapText="true" indent="0" shrinkToFit="false"/>
      <protection locked="true" hidden="true"/>
    </xf>
    <xf numFmtId="164" fontId="8" fillId="0" borderId="1" xfId="0" applyFont="true" applyBorder="true" applyAlignment="true" applyProtection="true">
      <alignment horizontal="general" vertical="bottom" textRotation="0" wrapText="false" indent="0" shrinkToFit="false"/>
      <protection locked="true" hidden="true"/>
    </xf>
    <xf numFmtId="164" fontId="8" fillId="0" borderId="0" xfId="0" applyFont="true" applyBorder="true" applyAlignment="true" applyProtection="true">
      <alignment horizontal="general" vertical="bottom" textRotation="0" wrapText="false" indent="0" shrinkToFit="false"/>
      <protection locked="true" hidden="true"/>
    </xf>
    <xf numFmtId="164" fontId="8" fillId="0" borderId="3" xfId="0" applyFont="true" applyBorder="true" applyAlignment="true" applyProtection="true">
      <alignment horizontal="center" vertical="center" textRotation="0" wrapText="false" indent="0" shrinkToFit="false"/>
      <protection locked="true" hidden="true"/>
    </xf>
    <xf numFmtId="164" fontId="8" fillId="0" borderId="3" xfId="0" applyFont="true" applyBorder="true" applyAlignment="true" applyProtection="true">
      <alignment horizontal="center" vertical="center" textRotation="0" wrapText="true" indent="0" shrinkToFit="false"/>
      <protection locked="true" hidden="true"/>
    </xf>
    <xf numFmtId="164" fontId="48" fillId="0" borderId="0" xfId="0" applyFont="true" applyBorder="false" applyAlignment="true" applyProtection="true">
      <alignment horizontal="general" vertical="bottom" textRotation="0" wrapText="false" indent="0" shrinkToFit="false"/>
      <protection locked="true" hidden="true"/>
    </xf>
    <xf numFmtId="164" fontId="47" fillId="0" borderId="3" xfId="0" applyFont="true" applyBorder="true" applyAlignment="true" applyProtection="true">
      <alignment horizontal="center" vertical="center" textRotation="0" wrapText="false" indent="0" shrinkToFit="false"/>
      <protection locked="true" hidden="true"/>
    </xf>
    <xf numFmtId="164" fontId="47" fillId="0" borderId="2" xfId="0" applyFont="true" applyBorder="true" applyAlignment="true" applyProtection="true">
      <alignment horizontal="center" vertical="center" textRotation="0" wrapText="false" indent="0" shrinkToFit="false"/>
      <protection locked="true" hidden="true"/>
    </xf>
    <xf numFmtId="164" fontId="47" fillId="0" borderId="6" xfId="0" applyFont="true" applyBorder="true" applyAlignment="true" applyProtection="true">
      <alignment horizontal="right" vertical="center" textRotation="0" wrapText="true" indent="0" shrinkToFit="false"/>
      <protection locked="true" hidden="true"/>
    </xf>
    <xf numFmtId="165" fontId="49" fillId="0" borderId="6" xfId="0" applyFont="true" applyBorder="true" applyAlignment="true" applyProtection="true">
      <alignment horizontal="center" vertical="center" textRotation="0" wrapText="true" indent="0" shrinkToFit="false"/>
      <protection locked="false" hidden="false"/>
    </xf>
    <xf numFmtId="165" fontId="47" fillId="0" borderId="6" xfId="0" applyFont="true" applyBorder="true" applyAlignment="true" applyProtection="true">
      <alignment horizontal="general" vertical="center" textRotation="0" wrapText="true" indent="0" shrinkToFit="false"/>
      <protection locked="false" hidden="false"/>
    </xf>
    <xf numFmtId="164" fontId="47" fillId="0" borderId="6" xfId="0" applyFont="true" applyBorder="true" applyAlignment="true" applyProtection="true">
      <alignment horizontal="center" vertical="center" textRotation="0" wrapText="true" indent="0" shrinkToFit="false"/>
      <protection locked="true" hidden="true"/>
    </xf>
    <xf numFmtId="166" fontId="47" fillId="0" borderId="5" xfId="0" applyFont="true" applyBorder="true" applyAlignment="true" applyProtection="true">
      <alignment horizontal="center" vertical="center" textRotation="0" wrapText="true" indent="0" shrinkToFit="false"/>
      <protection locked="true" hidden="true"/>
    </xf>
    <xf numFmtId="173" fontId="50" fillId="7" borderId="3" xfId="0" applyFont="true" applyBorder="true" applyAlignment="true" applyProtection="true">
      <alignment horizontal="center" vertical="center" textRotation="0" wrapText="false" indent="0" shrinkToFit="false"/>
      <protection locked="true" hidden="true"/>
    </xf>
    <xf numFmtId="164" fontId="47" fillId="0" borderId="6" xfId="0" applyFont="true" applyBorder="true" applyAlignment="true" applyProtection="true">
      <alignment horizontal="general" vertical="center" textRotation="0" wrapText="true" indent="0" shrinkToFit="false"/>
      <protection locked="true" hidden="true"/>
    </xf>
    <xf numFmtId="171" fontId="8" fillId="0" borderId="3" xfId="0" applyFont="true" applyBorder="true" applyAlignment="true" applyProtection="true">
      <alignment horizontal="right" vertical="bottom" textRotation="0" wrapText="false" indent="0" shrinkToFit="false"/>
      <protection locked="true" hidden="true"/>
    </xf>
    <xf numFmtId="164" fontId="48" fillId="0" borderId="0" xfId="0" applyFont="true" applyBorder="true" applyAlignment="true" applyProtection="true">
      <alignment horizontal="general" vertical="bottom" textRotation="0" wrapText="false" indent="0" shrinkToFit="false"/>
      <protection locked="true" hidden="true"/>
    </xf>
    <xf numFmtId="164" fontId="8" fillId="0" borderId="0" xfId="0" applyFont="true" applyBorder="true" applyAlignment="true" applyProtection="true">
      <alignment horizontal="right" vertical="bottom" textRotation="0" wrapText="false" indent="0" shrinkToFit="false"/>
      <protection locked="true" hidden="true"/>
    </xf>
    <xf numFmtId="171" fontId="8" fillId="0" borderId="3" xfId="0" applyFont="true" applyBorder="true" applyAlignment="true" applyProtection="true">
      <alignment horizontal="center" vertical="bottom" textRotation="0" wrapText="false" indent="0" shrinkToFit="false"/>
      <protection locked="true" hidden="true"/>
    </xf>
    <xf numFmtId="173" fontId="51" fillId="0" borderId="3" xfId="0" applyFont="true" applyBorder="true" applyAlignment="true" applyProtection="true">
      <alignment horizontal="center" vertical="bottom" textRotation="0" wrapText="false" indent="0" shrinkToFit="false"/>
      <protection locked="true" hidden="true"/>
    </xf>
    <xf numFmtId="164" fontId="52" fillId="0" borderId="0" xfId="0" applyFont="true" applyBorder="true" applyAlignment="true" applyProtection="true">
      <alignment horizontal="center" vertical="top" textRotation="0" wrapText="true" indent="0" shrinkToFit="false"/>
      <protection locked="true" hidden="true"/>
    </xf>
    <xf numFmtId="168" fontId="52" fillId="0" borderId="0" xfId="0" applyFont="true" applyBorder="true" applyAlignment="true" applyProtection="true">
      <alignment horizontal="left" vertical="top" textRotation="0" wrapText="true" indent="0" shrinkToFit="false"/>
      <protection locked="true" hidden="true"/>
    </xf>
    <xf numFmtId="164" fontId="52" fillId="0" borderId="0" xfId="0" applyFont="true" applyBorder="false" applyAlignment="true" applyProtection="true">
      <alignment horizontal="general" vertical="top" textRotation="0" wrapText="true" indent="0" shrinkToFit="false"/>
      <protection locked="true" hidden="true"/>
    </xf>
    <xf numFmtId="164" fontId="52" fillId="0" borderId="0" xfId="0" applyFont="true" applyBorder="true" applyAlignment="true" applyProtection="true">
      <alignment horizontal="left" vertical="top" textRotation="0" wrapText="true" indent="0" shrinkToFit="false"/>
      <protection locked="true" hidden="true"/>
    </xf>
    <xf numFmtId="164" fontId="8" fillId="0" borderId="0" xfId="0" applyFont="true" applyBorder="false" applyAlignment="true" applyProtection="true">
      <alignment horizontal="right" vertical="bottom" textRotation="0" wrapText="false" indent="0" shrinkToFit="false"/>
      <protection locked="true" hidden="true"/>
    </xf>
    <xf numFmtId="164" fontId="47" fillId="0" borderId="9" xfId="0" applyFont="true" applyBorder="true" applyAlignment="true" applyProtection="true">
      <alignment horizontal="general" vertical="bottom" textRotation="0" wrapText="false" indent="0" shrinkToFit="false"/>
      <protection locked="true" hidden="true"/>
    </xf>
    <xf numFmtId="164" fontId="8" fillId="0" borderId="0" xfId="0" applyFont="true" applyBorder="true" applyAlignment="true" applyProtection="true">
      <alignment horizontal="general" vertical="bottom" textRotation="0" wrapText="true" indent="0" shrinkToFit="false"/>
      <protection locked="true" hidden="tru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B7DEE8"/>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B3A2C7"/>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1023</xdr:col>
      <xdr:colOff>1432405080</xdr:colOff>
      <xdr:row>11</xdr:row>
      <xdr:rowOff>72000</xdr:rowOff>
    </xdr:from>
    <xdr:to>
      <xdr:col>1023</xdr:col>
      <xdr:colOff>1432438560</xdr:colOff>
      <xdr:row>11</xdr:row>
      <xdr:rowOff>72360</xdr:rowOff>
    </xdr:to>
    <xdr:sp>
      <xdr:nvSpPr>
        <xdr:cNvPr id="0" name="CustomShape 1"/>
        <xdr:cNvSpPr/>
      </xdr:nvSpPr>
      <xdr:spPr>
        <a:xfrm>
          <a:off x="1612912680" y="1957680"/>
          <a:ext cx="33480" cy="360"/>
        </a:xfrm>
        <a:prstGeom prst="rect">
          <a:avLst/>
        </a:prstGeom>
        <a:solidFill>
          <a:srgbClr val="ffffff"/>
        </a:solidFill>
        <a:ln w="9360">
          <a:noFill/>
        </a:ln>
      </xdr:spPr>
      <xdr:style>
        <a:lnRef idx="0"/>
        <a:fillRef idx="0"/>
        <a:effectRef idx="0"/>
        <a:fontRef idx="minor"/>
      </xdr:style>
      <xdr:txBody>
        <a:bodyPr lIns="0" rIns="0" tIns="0" bIns="0">
          <a:noAutofit/>
        </a:bodyPr>
        <a:p>
          <a:pPr rtl="1">
            <a:lnSpc>
              <a:spcPct val="100000"/>
            </a:lnSpc>
          </a:pPr>
          <a:r>
            <a:rPr b="0" lang="ru-RU" sz="900" spc="-1" strike="noStrike">
              <a:solidFill>
                <a:srgbClr val="000000"/>
              </a:solidFill>
              <a:latin typeface="Times New Roman"/>
            </a:rPr>
            <a:t>© </a:t>
          </a:r>
          <a:r>
            <a:rPr b="0" lang="ru-RU" sz="900" spc="-1" strike="noStrike">
              <a:solidFill>
                <a:srgbClr val="000000"/>
              </a:solidFill>
              <a:latin typeface="Times New Roman"/>
            </a:rPr>
            <a:t>Інформаційно-аналітичний центр «ЛІГА», 1991 - 2008</a:t>
          </a:r>
          <a:r>
            <a:rPr b="0" lang="ru-RU" sz="900" spc="-1" strike="noStrike">
              <a:solidFill>
                <a:srgbClr val="000000"/>
              </a:solidFill>
              <a:latin typeface="Times New Roman"/>
            </a:rPr>
            <a:t>.</a:t>
          </a:r>
          <a:endParaRPr b="0" lang="en-US" sz="900" spc="-1" strike="noStrike">
            <a:latin typeface="Times New Roman"/>
          </a:endParaRPr>
        </a:p>
        <a:p>
          <a:pPr rtl="1">
            <a:lnSpc>
              <a:spcPct val="100000"/>
            </a:lnSpc>
          </a:pPr>
          <a:r>
            <a:rPr b="0" lang="ru-RU" sz="900" spc="-1" strike="noStrike">
              <a:solidFill>
                <a:srgbClr val="000000"/>
              </a:solidFill>
              <a:latin typeface="Times New Roman"/>
            </a:rPr>
            <a:t>© </a:t>
          </a:r>
          <a:r>
            <a:rPr b="0" lang="ru-RU" sz="900" spc="-1" strike="noStrike">
              <a:solidFill>
                <a:srgbClr val="000000"/>
              </a:solidFill>
              <a:latin typeface="Times New Roman"/>
            </a:rPr>
            <a:t>ТОВ «ЛІГА ЗАКОН», 2007 - 2008</a:t>
          </a:r>
          <a:r>
            <a:rPr b="0" lang="ru-RU" sz="900" spc="-1" strike="noStrike">
              <a:solidFill>
                <a:srgbClr val="000000"/>
              </a:solidFill>
              <a:latin typeface="Times New Roman"/>
            </a:rPr>
            <a:t>.</a:t>
          </a:r>
          <a:endParaRPr b="0" lang="en-US" sz="900" spc="-1" strike="noStrike">
            <a:latin typeface="Times New Roman"/>
          </a:endParaRPr>
        </a:p>
      </xdr:txBody>
    </xdr:sp>
    <xdr:clientData/>
  </xdr:twoCellAnchor>
  <xdr:twoCellAnchor editAs="absolute">
    <xdr:from>
      <xdr:col>10</xdr:col>
      <xdr:colOff>1500120</xdr:colOff>
      <xdr:row>11</xdr:row>
      <xdr:rowOff>0</xdr:rowOff>
    </xdr:from>
    <xdr:to>
      <xdr:col>22</xdr:col>
      <xdr:colOff>181080</xdr:colOff>
      <xdr:row>11</xdr:row>
      <xdr:rowOff>0</xdr:rowOff>
    </xdr:to>
    <xdr:pic>
      <xdr:nvPicPr>
        <xdr:cNvPr id="1" name="Picture 7" descr="25mm"/>
        <xdr:cNvPicPr/>
      </xdr:nvPicPr>
      <xdr:blipFill>
        <a:blip r:embed="rId1"/>
        <a:stretch/>
      </xdr:blipFill>
      <xdr:spPr>
        <a:xfrm>
          <a:off x="15298560" y="1885680"/>
          <a:ext cx="2336760" cy="0"/>
        </a:xfrm>
        <a:prstGeom prst="rect">
          <a:avLst/>
        </a:prstGeom>
        <a:ln>
          <a:noFill/>
        </a:ln>
      </xdr:spPr>
    </xdr:pic>
    <xdr:clientData/>
  </xdr:twoCellAnchor>
  <xdr:twoCellAnchor editAs="twoCell">
    <xdr:from>
      <xdr:col>3</xdr:col>
      <xdr:colOff>76320</xdr:colOff>
      <xdr:row>11</xdr:row>
      <xdr:rowOff>19080</xdr:rowOff>
    </xdr:from>
    <xdr:to>
      <xdr:col>10</xdr:col>
      <xdr:colOff>904680</xdr:colOff>
      <xdr:row>29</xdr:row>
      <xdr:rowOff>85320</xdr:rowOff>
    </xdr:to>
    <xdr:sp>
      <xdr:nvSpPr>
        <xdr:cNvPr id="2" name="CustomShape 1"/>
        <xdr:cNvSpPr/>
      </xdr:nvSpPr>
      <xdr:spPr>
        <a:xfrm>
          <a:off x="9631800" y="1904760"/>
          <a:ext cx="5071320" cy="1283760"/>
        </a:xfrm>
        <a:prstGeom prst="leftArrow">
          <a:avLst>
            <a:gd name="adj1" fmla="val 50000"/>
            <a:gd name="adj2" fmla="val 50000"/>
          </a:avLst>
        </a:prstGeom>
        <a:solidFill>
          <a:srgbClr val="92d050"/>
        </a:solidFill>
        <a:ln>
          <a:solidFill>
            <a:schemeClr val="tx1"/>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nSpc>
              <a:spcPct val="100000"/>
            </a:lnSpc>
          </a:pPr>
          <a:r>
            <a:rPr b="1" lang="ru-RU" sz="1100" spc="-1" strike="noStrike">
              <a:solidFill>
                <a:srgbClr val="000000"/>
              </a:solidFill>
              <a:latin typeface="Calibri"/>
            </a:rPr>
            <a:t>якщо потрібно ввести платіж, який вищий затвердженого -використовуємо цю ячейку і вводимо вручну</a:t>
          </a:r>
          <a:r>
            <a:rPr b="0" lang="ru-RU" sz="1200" spc="-1" strike="noStrike">
              <a:solidFill>
                <a:srgbClr val="000000"/>
              </a:solidFill>
              <a:latin typeface="Calibri"/>
            </a:rPr>
            <a:t> </a:t>
          </a:r>
          <a:r>
            <a:rPr b="1" i="1" lang="ru-RU" sz="1100" spc="-1" strike="noStrike">
              <a:solidFill>
                <a:srgbClr val="000000"/>
              </a:solidFill>
              <a:latin typeface="Calibri"/>
            </a:rPr>
            <a:t>(якщо платіж буде меншим за затверджений - рахувати в меншу сторону не буде)</a:t>
          </a:r>
          <a:r>
            <a:rPr b="0" lang="ru-RU" sz="1200" spc="-1" strike="noStrike">
              <a:solidFill>
                <a:srgbClr val="000000"/>
              </a:solidFill>
              <a:latin typeface="Calibri"/>
            </a:rPr>
            <a:t> </a:t>
          </a:r>
          <a:endParaRPr b="0" lang="en-US" sz="12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0</xdr:colOff>
      <xdr:row>4</xdr:row>
      <xdr:rowOff>0</xdr:rowOff>
    </xdr:from>
    <xdr:to>
      <xdr:col>2</xdr:col>
      <xdr:colOff>504360</xdr:colOff>
      <xdr:row>7</xdr:row>
      <xdr:rowOff>161640</xdr:rowOff>
    </xdr:to>
    <xdr:sp>
      <xdr:nvSpPr>
        <xdr:cNvPr id="3" name="CustomShape 1"/>
        <xdr:cNvSpPr/>
      </xdr:nvSpPr>
      <xdr:spPr>
        <a:xfrm>
          <a:off x="0" y="647640"/>
          <a:ext cx="1400760" cy="647280"/>
        </a:xfrm>
        <a:prstGeom prst="rect">
          <a:avLst/>
        </a:prstGeom>
        <a:solidFill>
          <a:srgbClr val="ffffff"/>
        </a:solidFill>
        <a:ln>
          <a:noFill/>
        </a:ln>
      </xdr:spPr>
      <xdr:style>
        <a:lnRef idx="0"/>
        <a:fillRef idx="0"/>
        <a:effectRef idx="0"/>
        <a:fontRef idx="minor"/>
      </xdr:style>
    </xdr:sp>
    <xdr:clientData/>
  </xdr:twoCellAnchor>
  <xdr:twoCellAnchor editAs="oneCell">
    <xdr:from>
      <xdr:col>1</xdr:col>
      <xdr:colOff>123840</xdr:colOff>
      <xdr:row>3</xdr:row>
      <xdr:rowOff>35280</xdr:rowOff>
    </xdr:from>
    <xdr:to>
      <xdr:col>2</xdr:col>
      <xdr:colOff>2381040</xdr:colOff>
      <xdr:row>8</xdr:row>
      <xdr:rowOff>104400</xdr:rowOff>
    </xdr:to>
    <xdr:pic>
      <xdr:nvPicPr>
        <xdr:cNvPr id="4" name="Рисунок 4" descr=""/>
        <xdr:cNvPicPr/>
      </xdr:nvPicPr>
      <xdr:blipFill>
        <a:blip r:embed="rId1"/>
        <a:stretch/>
      </xdr:blipFill>
      <xdr:spPr>
        <a:xfrm>
          <a:off x="385200" y="520920"/>
          <a:ext cx="2892240" cy="87876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F5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13" activeCellId="0" sqref="C13"/>
    </sheetView>
  </sheetViews>
  <sheetFormatPr defaultColWidth="2.2890625" defaultRowHeight="12.75" zeroHeight="false" outlineLevelRow="0" outlineLevelCol="0"/>
  <cols>
    <col collapsed="false" customWidth="true" hidden="false" outlineLevel="0" max="1" min="1" style="1" width="66.71"/>
    <col collapsed="false" customWidth="true" hidden="false" outlineLevel="0" max="2" min="2" style="1" width="50.71"/>
    <col collapsed="false" customWidth="true" hidden="false" outlineLevel="0" max="3" min="3" style="1" width="18"/>
    <col collapsed="false" customWidth="true" hidden="false" outlineLevel="0" max="4" min="4" style="1" width="10.14"/>
    <col collapsed="false" customWidth="true" hidden="false" outlineLevel="0" max="5" min="5" style="1" width="10"/>
    <col collapsed="false" customWidth="true" hidden="false" outlineLevel="0" max="7" min="6" style="1" width="8.71"/>
    <col collapsed="false" customWidth="true" hidden="false" outlineLevel="0" max="8" min="8" style="1" width="8.14"/>
    <col collapsed="false" customWidth="true" hidden="false" outlineLevel="0" max="9" min="9" style="1" width="8.86"/>
    <col collapsed="false" customWidth="true" hidden="false" outlineLevel="0" max="10" min="10" style="1" width="5.57"/>
    <col collapsed="false" customWidth="true" hidden="false" outlineLevel="0" max="11" min="11" style="1" width="21.43"/>
    <col collapsed="false" customWidth="true" hidden="false" outlineLevel="0" max="17" min="12" style="1" width="2.71"/>
    <col collapsed="false" customWidth="true" hidden="false" outlineLevel="0" max="18" min="18" style="1" width="3.99"/>
    <col collapsed="false" customWidth="true" hidden="false" outlineLevel="0" max="19" min="19" style="1" width="2"/>
    <col collapsed="false" customWidth="true" hidden="false" outlineLevel="0" max="20" min="20" style="1" width="2.57"/>
    <col collapsed="false" customWidth="true" hidden="false" outlineLevel="0" max="21" min="21" style="1" width="2.85"/>
    <col collapsed="false" customWidth="true" hidden="false" outlineLevel="0" max="22" min="22" style="1" width="2.71"/>
    <col collapsed="false" customWidth="true" hidden="false" outlineLevel="0" max="23" min="23" style="1" width="2.57"/>
    <col collapsed="false" customWidth="true" hidden="false" outlineLevel="0" max="27" min="24" style="1" width="1.71"/>
    <col collapsed="false" customWidth="false" hidden="false" outlineLevel="0" max="35" min="28" style="1" width="2.29"/>
    <col collapsed="false" customWidth="true" hidden="false" outlineLevel="0" max="36" min="36" style="1" width="2.99"/>
    <col collapsed="false" customWidth="true" hidden="false" outlineLevel="0" max="40" min="37" style="1" width="8.29"/>
    <col collapsed="false" customWidth="false" hidden="false" outlineLevel="0" max="1024" min="41" style="1" width="2.29"/>
  </cols>
  <sheetData>
    <row r="2" customFormat="false" ht="19.5" hidden="false" customHeight="true" outlineLevel="0" collapsed="false">
      <c r="A2" s="2" t="s">
        <v>0</v>
      </c>
      <c r="B2" s="2"/>
    </row>
    <row r="3" customFormat="false" ht="15.75" hidden="false" customHeight="false" outlineLevel="0" collapsed="false">
      <c r="A3" s="3" t="s">
        <v>1</v>
      </c>
      <c r="B3" s="4" t="s">
        <v>2</v>
      </c>
      <c r="C3" s="5" t="s">
        <v>3</v>
      </c>
      <c r="D3" s="5"/>
      <c r="E3" s="5"/>
      <c r="F3" s="5"/>
      <c r="G3" s="5"/>
    </row>
    <row r="4" customFormat="false" ht="15.75" hidden="false" customHeight="false" outlineLevel="0" collapsed="false">
      <c r="A4" s="3" t="s">
        <v>4</v>
      </c>
      <c r="B4" s="6" t="s">
        <v>5</v>
      </c>
      <c r="C4" s="7"/>
      <c r="D4" s="8"/>
      <c r="E4" s="9" t="s">
        <v>6</v>
      </c>
      <c r="F4" s="9" t="s">
        <v>7</v>
      </c>
      <c r="G4" s="9" t="s">
        <v>8</v>
      </c>
    </row>
    <row r="5" customFormat="false" ht="15.75" hidden="false" customHeight="false" outlineLevel="0" collapsed="false">
      <c r="A5" s="3" t="s">
        <v>9</v>
      </c>
      <c r="B5" s="10" t="n">
        <v>27251</v>
      </c>
      <c r="C5" s="11" t="s">
        <v>10</v>
      </c>
      <c r="D5" s="12" t="s">
        <v>11</v>
      </c>
      <c r="E5" s="13" t="n">
        <v>21</v>
      </c>
      <c r="F5" s="13" t="n">
        <v>2</v>
      </c>
      <c r="G5" s="14" t="n">
        <v>2021</v>
      </c>
    </row>
    <row r="6" customFormat="false" ht="15.75" hidden="false" customHeight="false" outlineLevel="0" collapsed="false">
      <c r="A6" s="3" t="s">
        <v>12</v>
      </c>
      <c r="B6" s="6"/>
      <c r="C6" s="15" t="n">
        <v>30</v>
      </c>
      <c r="D6" s="12" t="s">
        <v>13</v>
      </c>
      <c r="E6" s="13" t="n">
        <v>20</v>
      </c>
      <c r="F6" s="13" t="n">
        <v>2</v>
      </c>
      <c r="G6" s="14" t="n">
        <v>2022</v>
      </c>
    </row>
    <row r="7" customFormat="false" ht="15.75" hidden="false" customHeight="false" outlineLevel="0" collapsed="false">
      <c r="A7" s="3" t="s">
        <v>14</v>
      </c>
      <c r="B7" s="16" t="s">
        <v>15</v>
      </c>
      <c r="C7" s="17"/>
      <c r="D7" s="17"/>
      <c r="E7" s="17"/>
      <c r="F7" s="17"/>
      <c r="G7" s="18"/>
    </row>
    <row r="8" customFormat="false" ht="15.75" hidden="true" customHeight="false" outlineLevel="0" collapsed="false">
      <c r="A8" s="19"/>
      <c r="B8" s="20"/>
      <c r="V8" s="21"/>
      <c r="W8" s="21"/>
      <c r="X8" s="21"/>
      <c r="Y8" s="21"/>
      <c r="Z8" s="21"/>
      <c r="AA8" s="21"/>
      <c r="AB8" s="21"/>
      <c r="AC8" s="21"/>
      <c r="AD8" s="21"/>
      <c r="AE8" s="21"/>
      <c r="AF8" s="21"/>
    </row>
    <row r="9" customFormat="false" ht="6" hidden="false" customHeight="true" outlineLevel="0" collapsed="false">
      <c r="C9" s="22"/>
      <c r="D9" s="22"/>
      <c r="V9" s="21"/>
      <c r="W9" s="21"/>
      <c r="X9" s="21"/>
      <c r="Y9" s="21"/>
      <c r="Z9" s="21"/>
      <c r="AA9" s="21"/>
      <c r="AB9" s="21"/>
      <c r="AC9" s="21"/>
      <c r="AD9" s="21"/>
      <c r="AE9" s="21"/>
      <c r="AF9" s="21"/>
    </row>
    <row r="10" s="28" customFormat="true" ht="15.75" hidden="false" customHeight="false" outlineLevel="0" collapsed="false">
      <c r="A10" s="23" t="s">
        <v>16</v>
      </c>
      <c r="B10" s="23"/>
      <c r="C10" s="23"/>
      <c r="D10" s="24"/>
      <c r="E10" s="25" t="s">
        <v>17</v>
      </c>
      <c r="F10" s="26" t="n">
        <f aca="false">ROUNDDOWN(($B$30-C12)/365,0)</f>
        <v>47</v>
      </c>
      <c r="G10" s="1"/>
      <c r="H10" s="27"/>
      <c r="I10" s="27"/>
      <c r="J10" s="27"/>
      <c r="K10" s="27"/>
      <c r="V10" s="21"/>
      <c r="W10" s="21"/>
      <c r="X10" s="21"/>
      <c r="Y10" s="21"/>
      <c r="Z10" s="21"/>
      <c r="AA10" s="21"/>
      <c r="AB10" s="21"/>
      <c r="AC10" s="21"/>
      <c r="AD10" s="21"/>
      <c r="AE10" s="21"/>
      <c r="AF10" s="21"/>
    </row>
    <row r="11" s="28" customFormat="true" ht="15.75" hidden="false" customHeight="false" outlineLevel="0" collapsed="false">
      <c r="A11" s="23" t="s">
        <v>18</v>
      </c>
      <c r="B11" s="29" t="s">
        <v>4</v>
      </c>
      <c r="C11" s="30" t="s">
        <v>9</v>
      </c>
      <c r="D11" s="24"/>
      <c r="E11" s="31"/>
      <c r="F11" s="31"/>
      <c r="G11" s="27"/>
      <c r="H11" s="31"/>
      <c r="I11" s="31"/>
      <c r="J11" s="31"/>
      <c r="K11" s="31"/>
      <c r="V11" s="21"/>
      <c r="W11" s="21"/>
      <c r="X11" s="21"/>
      <c r="Y11" s="21"/>
      <c r="Z11" s="21"/>
      <c r="AA11" s="21"/>
      <c r="AB11" s="21"/>
      <c r="AC11" s="21"/>
      <c r="AD11" s="21"/>
      <c r="AE11" s="21"/>
      <c r="AF11" s="21"/>
    </row>
    <row r="12" customFormat="false" ht="15.75" hidden="false" customHeight="false" outlineLevel="0" collapsed="false">
      <c r="A12" s="32" t="str">
        <f aca="false">B3</f>
        <v>SAVONCHUK NADIIA</v>
      </c>
      <c r="B12" s="33" t="str">
        <f aca="false">B4</f>
        <v>FJ428913</v>
      </c>
      <c r="C12" s="34" t="n">
        <f aca="false">B5</f>
        <v>27251</v>
      </c>
      <c r="D12" s="35"/>
      <c r="E12" s="36"/>
      <c r="F12" s="36"/>
      <c r="G12" s="31"/>
      <c r="H12" s="36"/>
      <c r="I12" s="36"/>
      <c r="J12" s="36"/>
      <c r="K12" s="36"/>
      <c r="V12" s="21"/>
      <c r="W12" s="21"/>
      <c r="X12" s="21"/>
      <c r="Y12" s="21"/>
      <c r="Z12" s="21"/>
      <c r="AA12" s="21"/>
      <c r="AB12" s="21"/>
      <c r="AC12" s="21"/>
      <c r="AD12" s="21"/>
      <c r="AE12" s="21"/>
      <c r="AF12" s="21"/>
    </row>
    <row r="13" customFormat="false" ht="15.75" hidden="false" customHeight="false" outlineLevel="0" collapsed="false">
      <c r="A13" s="37"/>
      <c r="B13" s="38"/>
      <c r="C13" s="39"/>
      <c r="D13" s="35"/>
      <c r="E13" s="36"/>
      <c r="F13" s="36"/>
      <c r="G13" s="36"/>
      <c r="H13" s="36"/>
      <c r="I13" s="36"/>
      <c r="J13" s="36"/>
      <c r="K13" s="36"/>
      <c r="V13" s="21"/>
      <c r="W13" s="21"/>
      <c r="X13" s="21"/>
      <c r="Y13" s="21"/>
      <c r="Z13" s="21"/>
      <c r="AA13" s="21"/>
      <c r="AB13" s="21"/>
      <c r="AC13" s="21"/>
      <c r="AD13" s="21"/>
      <c r="AE13" s="21"/>
      <c r="AF13" s="21"/>
    </row>
    <row r="14" customFormat="false" ht="16.5" hidden="false" customHeight="false" outlineLevel="0" collapsed="false">
      <c r="A14" s="37"/>
      <c r="B14" s="40"/>
      <c r="C14" s="39"/>
      <c r="D14" s="35"/>
      <c r="E14" s="36"/>
      <c r="F14" s="36"/>
      <c r="G14" s="36"/>
      <c r="H14" s="36"/>
      <c r="I14" s="36"/>
      <c r="J14" s="36"/>
      <c r="K14" s="36"/>
      <c r="V14" s="21"/>
      <c r="W14" s="21"/>
      <c r="X14" s="21"/>
      <c r="Y14" s="21"/>
      <c r="Z14" s="21"/>
      <c r="AA14" s="21"/>
      <c r="AB14" s="21"/>
      <c r="AC14" s="21"/>
      <c r="AD14" s="21"/>
      <c r="AE14" s="21"/>
      <c r="AF14" s="21"/>
    </row>
    <row r="15" customFormat="false" ht="15.75" hidden="true" customHeight="false" outlineLevel="0" collapsed="false">
      <c r="A15" s="41" t="s">
        <v>19</v>
      </c>
      <c r="B15" s="41"/>
      <c r="G15" s="42"/>
    </row>
    <row r="16" customFormat="false" ht="15.75" hidden="true" customHeight="false" outlineLevel="0" collapsed="false">
      <c r="A16" s="43" t="s">
        <v>20</v>
      </c>
      <c r="B16" s="44" t="n">
        <f aca="false">30000*30</f>
        <v>900000</v>
      </c>
    </row>
    <row r="17" customFormat="false" ht="15.75" hidden="true" customHeight="true" outlineLevel="0" collapsed="false">
      <c r="A17" s="45" t="s">
        <v>21</v>
      </c>
      <c r="B17" s="46" t="n">
        <v>0</v>
      </c>
    </row>
    <row r="18" customFormat="false" ht="15.75" hidden="true" customHeight="true" outlineLevel="0" collapsed="false">
      <c r="A18" s="45" t="s">
        <v>22</v>
      </c>
      <c r="B18" s="47" t="n">
        <f aca="false">B21/B16*100</f>
        <v>0.0333</v>
      </c>
    </row>
    <row r="19" customFormat="false" ht="15.75" hidden="true" customHeight="true" outlineLevel="0" collapsed="false">
      <c r="A19" s="45" t="s">
        <v>23</v>
      </c>
      <c r="B19" s="46" t="s">
        <v>24</v>
      </c>
    </row>
    <row r="20" customFormat="false" ht="15.75" hidden="true" customHeight="true" outlineLevel="0" collapsed="false">
      <c r="A20" s="45" t="s">
        <v>25</v>
      </c>
      <c r="B20" s="46" t="s">
        <v>26</v>
      </c>
    </row>
    <row r="21" customFormat="false" ht="16.5" hidden="false" customHeight="false" outlineLevel="0" collapsed="false">
      <c r="A21" s="48" t="s">
        <v>27</v>
      </c>
      <c r="B21" s="49" t="n">
        <f aca="false">IF(B42*IF(('ДРУК ПОЛІСУ'!T16-'ДРУК ПОЛІСУ'!N13)&gt;=65*365.25,0,IF(('ДРУК ПОЛІСУ'!T16-'ДРУК ПОЛІСУ'!N13)&gt;=60*365.25,2,IF(('ДРУК ПОЛІСУ'!T16-'ДРУК ПОЛІСУ'!N13)&gt;=18*365.25,1,IF(('ДРУК ПОЛІСУ'!T16-'ДРУК ПОЛІСУ'!N13)&gt;=1*365.25,1.5,0))))&lt;C21,C21,B42*IF(('ДРУК ПОЛІСУ'!T16-'ДРУК ПОЛІСУ'!N13)&gt;=86*365.25,0,IF(('ДРУК ПОЛІСУ'!T16-'ДРУК ПОЛІСУ'!N13)&gt;=76*365.25,4,IF(('ДРУК ПОЛІСУ'!T16-'ДРУК ПОЛІСУ'!N13)&gt;=66*365.25,4,IF(('ДРУК ПОЛІСУ'!T16-'ДРУК ПОЛІСУ'!N13)&gt;=60*365.25,2,IF(('ДРУК ПОЛІСУ'!T16-'ДРУК ПОЛІСУ'!N13)&gt;=18*365.25,1,IF(('ДРУК ПОЛІСУ'!T16-'ДРУК ПОЛІСУ'!N13)&gt;=1*365.25,1.5,0)))))))</f>
        <v>300</v>
      </c>
      <c r="C21" s="50" t="n">
        <v>0</v>
      </c>
    </row>
    <row r="22" customFormat="false" ht="15.75" hidden="true" customHeight="true" outlineLevel="0" collapsed="false">
      <c r="A22" s="48" t="s">
        <v>28</v>
      </c>
      <c r="B22" s="51" t="n">
        <v>0</v>
      </c>
    </row>
    <row r="23" customFormat="false" ht="15.75" hidden="true" customHeight="true" outlineLevel="0" collapsed="false">
      <c r="A23" s="48" t="s">
        <v>29</v>
      </c>
      <c r="B23" s="52" t="n">
        <f aca="false">B21+B22</f>
        <v>300</v>
      </c>
    </row>
    <row r="24" customFormat="false" ht="15.75" hidden="true" customHeight="true" outlineLevel="0" collapsed="false">
      <c r="A24" s="48" t="s">
        <v>30</v>
      </c>
      <c r="B24" s="53"/>
    </row>
    <row r="25" customFormat="false" ht="15.75" hidden="false" customHeight="false" outlineLevel="0" collapsed="false">
      <c r="A25" s="48" t="s">
        <v>31</v>
      </c>
      <c r="B25" s="49" t="n">
        <v>1</v>
      </c>
    </row>
    <row r="26" customFormat="false" ht="19.15" hidden="true" customHeight="true" outlineLevel="0" collapsed="false">
      <c r="A26" s="48" t="s">
        <v>32</v>
      </c>
      <c r="B26" s="52" t="n">
        <f aca="false">B25*B21</f>
        <v>300</v>
      </c>
    </row>
    <row r="27" customFormat="false" ht="19.15" hidden="true" customHeight="true" outlineLevel="0" collapsed="false">
      <c r="A27" s="48" t="s">
        <v>33</v>
      </c>
      <c r="B27" s="54" t="n">
        <f aca="false">B25*B22</f>
        <v>0</v>
      </c>
    </row>
    <row r="28" customFormat="false" ht="19.15" hidden="true" customHeight="true" outlineLevel="0" collapsed="false">
      <c r="A28" s="48" t="s">
        <v>34</v>
      </c>
      <c r="B28" s="55" t="n">
        <f aca="false">B27+B26</f>
        <v>300</v>
      </c>
    </row>
    <row r="29" customFormat="false" ht="15.6" hidden="false" customHeight="true" outlineLevel="0" collapsed="false">
      <c r="A29" s="48" t="s">
        <v>35</v>
      </c>
      <c r="B29" s="56" t="n">
        <v>0</v>
      </c>
    </row>
    <row r="30" customFormat="false" ht="15.75" hidden="false" customHeight="false" outlineLevel="0" collapsed="false">
      <c r="A30" s="57" t="s">
        <v>36</v>
      </c>
      <c r="B30" s="58" t="n">
        <f aca="true">TODAY()</f>
        <v>44449</v>
      </c>
    </row>
    <row r="31" s="60" customFormat="true" ht="12.75" hidden="false" customHeight="true" outlineLevel="0" collapsed="false">
      <c r="A31" s="59" t="s">
        <v>37</v>
      </c>
      <c r="B31" s="58" t="s">
        <v>38</v>
      </c>
    </row>
    <row r="32" s="61" customFormat="true" ht="12.75" hidden="false" customHeight="true" outlineLevel="0" collapsed="false">
      <c r="B32" s="62" t="s">
        <v>39</v>
      </c>
      <c r="C32" s="63" t="n">
        <v>0</v>
      </c>
      <c r="D32" s="63" t="n">
        <v>50</v>
      </c>
      <c r="E32" s="63" t="n">
        <v>100</v>
      </c>
      <c r="F32" s="64" t="n">
        <v>150</v>
      </c>
      <c r="G32" s="64"/>
    </row>
    <row r="33" s="61" customFormat="true" ht="12.75" hidden="false" customHeight="true" outlineLevel="0" collapsed="false">
      <c r="B33" s="65" t="n">
        <v>30</v>
      </c>
      <c r="C33" s="66" t="n">
        <v>300</v>
      </c>
      <c r="D33" s="66" t="n">
        <v>250</v>
      </c>
      <c r="E33" s="66" t="n">
        <v>200</v>
      </c>
      <c r="F33" s="66" t="n">
        <v>150</v>
      </c>
      <c r="G33" s="67"/>
      <c r="J33" s="68"/>
      <c r="K33" s="68"/>
      <c r="L33" s="68"/>
      <c r="M33" s="68"/>
      <c r="N33" s="68"/>
      <c r="O33" s="68"/>
      <c r="P33" s="68"/>
      <c r="Q33" s="68"/>
      <c r="R33" s="68"/>
      <c r="S33" s="68"/>
    </row>
    <row r="34" s="61" customFormat="true" ht="12.75" hidden="false" customHeight="true" outlineLevel="0" collapsed="false">
      <c r="B34" s="65" t="n">
        <v>60</v>
      </c>
      <c r="C34" s="66" t="n">
        <v>450</v>
      </c>
      <c r="D34" s="66" t="n">
        <v>350</v>
      </c>
      <c r="E34" s="66" t="n">
        <v>250</v>
      </c>
      <c r="F34" s="66" t="n">
        <v>200</v>
      </c>
      <c r="G34" s="67"/>
      <c r="J34" s="68"/>
      <c r="K34" s="68"/>
      <c r="L34" s="68"/>
      <c r="M34" s="68"/>
      <c r="N34" s="68"/>
      <c r="O34" s="68"/>
      <c r="P34" s="68"/>
      <c r="Q34" s="68"/>
      <c r="R34" s="68"/>
      <c r="S34" s="68"/>
    </row>
    <row r="35" s="61" customFormat="true" ht="12.75" hidden="false" customHeight="true" outlineLevel="0" collapsed="false">
      <c r="B35" s="65" t="n">
        <v>90</v>
      </c>
      <c r="C35" s="66" t="n">
        <v>500</v>
      </c>
      <c r="D35" s="66" t="n">
        <v>450</v>
      </c>
      <c r="E35" s="66" t="n">
        <v>350</v>
      </c>
      <c r="F35" s="66" t="n">
        <v>250</v>
      </c>
      <c r="G35" s="67"/>
      <c r="J35" s="68"/>
      <c r="K35" s="68"/>
      <c r="L35" s="68"/>
      <c r="M35" s="68"/>
      <c r="N35" s="68"/>
      <c r="O35" s="68"/>
      <c r="P35" s="68"/>
      <c r="Q35" s="68"/>
      <c r="R35" s="68"/>
      <c r="S35" s="68"/>
    </row>
    <row r="36" s="61" customFormat="true" ht="12.75" hidden="false" customHeight="true" outlineLevel="0" collapsed="false">
      <c r="B36" s="65" t="n">
        <v>100</v>
      </c>
      <c r="C36" s="66" t="n">
        <v>550</v>
      </c>
      <c r="D36" s="66" t="n">
        <v>500</v>
      </c>
      <c r="E36" s="66" t="n">
        <v>400</v>
      </c>
      <c r="F36" s="66" t="n">
        <v>300</v>
      </c>
      <c r="G36" s="67"/>
      <c r="J36" s="68"/>
      <c r="K36" s="68"/>
      <c r="L36" s="68"/>
      <c r="M36" s="68"/>
      <c r="N36" s="68"/>
      <c r="O36" s="68"/>
      <c r="P36" s="68"/>
      <c r="Q36" s="68"/>
      <c r="R36" s="68"/>
      <c r="S36" s="68"/>
    </row>
    <row r="37" s="61" customFormat="true" ht="12.75" hidden="false" customHeight="true" outlineLevel="0" collapsed="false">
      <c r="B37" s="65" t="n">
        <v>180</v>
      </c>
      <c r="C37" s="66" t="n">
        <v>800</v>
      </c>
      <c r="D37" s="66" t="n">
        <v>600</v>
      </c>
      <c r="E37" s="66" t="n">
        <v>500</v>
      </c>
      <c r="F37" s="66" t="n">
        <v>350</v>
      </c>
      <c r="G37" s="67"/>
      <c r="J37" s="68"/>
      <c r="K37" s="68"/>
      <c r="L37" s="68"/>
      <c r="M37" s="68"/>
      <c r="N37" s="68"/>
      <c r="O37" s="68"/>
      <c r="P37" s="68"/>
      <c r="Q37" s="68"/>
      <c r="R37" s="68"/>
      <c r="S37" s="68"/>
    </row>
    <row r="38" s="61" customFormat="true" ht="12.75" hidden="false" customHeight="true" outlineLevel="0" collapsed="false">
      <c r="B38" s="65" t="n">
        <v>200</v>
      </c>
      <c r="C38" s="66" t="n">
        <v>850</v>
      </c>
      <c r="D38" s="66" t="n">
        <v>650</v>
      </c>
      <c r="E38" s="66" t="n">
        <v>600</v>
      </c>
      <c r="F38" s="66" t="n">
        <v>500</v>
      </c>
      <c r="G38" s="67"/>
      <c r="J38" s="68"/>
      <c r="K38" s="68"/>
      <c r="L38" s="68"/>
      <c r="M38" s="68"/>
      <c r="N38" s="68"/>
      <c r="O38" s="68"/>
      <c r="P38" s="68"/>
      <c r="Q38" s="68"/>
      <c r="R38" s="68"/>
      <c r="S38" s="68"/>
    </row>
    <row r="39" s="61" customFormat="true" ht="12.75" hidden="false" customHeight="true" outlineLevel="0" collapsed="false">
      <c r="B39" s="65" t="n">
        <v>270</v>
      </c>
      <c r="C39" s="66" t="n">
        <v>950</v>
      </c>
      <c r="D39" s="66" t="n">
        <v>850</v>
      </c>
      <c r="E39" s="66" t="n">
        <v>700</v>
      </c>
      <c r="F39" s="66" t="n">
        <v>600</v>
      </c>
      <c r="G39" s="67"/>
      <c r="J39" s="68"/>
      <c r="K39" s="68"/>
      <c r="L39" s="68"/>
      <c r="M39" s="68"/>
      <c r="N39" s="68"/>
      <c r="O39" s="68"/>
      <c r="P39" s="68"/>
      <c r="Q39" s="68"/>
      <c r="R39" s="68"/>
      <c r="S39" s="68"/>
    </row>
    <row r="40" s="61" customFormat="true" ht="12.75" hidden="false" customHeight="true" outlineLevel="0" collapsed="false">
      <c r="B40" s="65" t="n">
        <v>365</v>
      </c>
      <c r="C40" s="66" t="n">
        <v>1200</v>
      </c>
      <c r="D40" s="66" t="n">
        <v>1100</v>
      </c>
      <c r="E40" s="66" t="n">
        <v>900</v>
      </c>
      <c r="F40" s="66" t="n">
        <v>700</v>
      </c>
      <c r="G40" s="67"/>
    </row>
    <row r="41" s="61" customFormat="true" ht="12.75" hidden="false" customHeight="true" outlineLevel="0" collapsed="false">
      <c r="B41" s="65" t="n">
        <v>366</v>
      </c>
      <c r="C41" s="66" t="n">
        <v>1200</v>
      </c>
      <c r="D41" s="66" t="n">
        <v>1100</v>
      </c>
      <c r="E41" s="66" t="n">
        <v>900</v>
      </c>
      <c r="F41" s="66" t="n">
        <v>700</v>
      </c>
      <c r="G41" s="67"/>
    </row>
    <row r="42" s="61" customFormat="true" ht="12.75" hidden="false" customHeight="true" outlineLevel="0" collapsed="false">
      <c r="B42" s="69" t="n">
        <f aca="false">IF(B29=0,LOOKUP(C6,B33:B41,C33:C41),IF(B29=50,LOOKUP(C6,B33:B40,D33:D41),IF(B29=100,LOOKUP(C6,B33:B40,E33:E41),IF(B29=150,LOOKUP(C6,B33:B40,F33:F41)))))</f>
        <v>300</v>
      </c>
      <c r="C42" s="70" t="s">
        <v>40</v>
      </c>
      <c r="D42" s="71"/>
      <c r="E42" s="71"/>
      <c r="F42" s="72"/>
    </row>
    <row r="43" s="73" customFormat="true" ht="12.75" hidden="false" customHeight="true" outlineLevel="0" collapsed="false">
      <c r="B43" s="74"/>
      <c r="C43" s="75"/>
      <c r="D43" s="75"/>
      <c r="E43" s="75"/>
      <c r="F43" s="76"/>
    </row>
    <row r="44" s="73" customFormat="true" ht="12.75" hidden="false" customHeight="true" outlineLevel="0" collapsed="false">
      <c r="B44" s="74"/>
      <c r="C44" s="75"/>
      <c r="D44" s="75"/>
      <c r="E44" s="75"/>
      <c r="F44" s="76"/>
    </row>
    <row r="45" s="73" customFormat="true" ht="12.75" hidden="false" customHeight="true" outlineLevel="0" collapsed="false">
      <c r="B45" s="74"/>
      <c r="C45" s="74"/>
      <c r="D45" s="74"/>
      <c r="E45" s="74"/>
    </row>
    <row r="46" s="73" customFormat="true" ht="12.75" hidden="false" customHeight="true" outlineLevel="0" collapsed="false">
      <c r="B46" s="74"/>
      <c r="C46" s="74"/>
      <c r="D46" s="74"/>
      <c r="E46" s="74"/>
    </row>
    <row r="47" s="60" customFormat="true" ht="12.75" hidden="false" customHeight="true" outlineLevel="0" collapsed="false">
      <c r="B47" s="77"/>
      <c r="C47" s="77"/>
      <c r="D47" s="77"/>
      <c r="E47" s="77"/>
    </row>
    <row r="48" s="60" customFormat="true" ht="12.75" hidden="false" customHeight="true" outlineLevel="0" collapsed="false">
      <c r="B48" s="77"/>
      <c r="C48" s="77"/>
      <c r="D48" s="77"/>
      <c r="E48" s="77"/>
    </row>
    <row r="49" s="60" customFormat="true" ht="12.75" hidden="false" customHeight="true" outlineLevel="0" collapsed="false"/>
    <row r="50" s="60" customFormat="true" ht="12.75" hidden="false" customHeight="true" outlineLevel="0" collapsed="false"/>
    <row r="51" s="60" customFormat="true" ht="12.75" hidden="false" customHeight="true" outlineLevel="0" collapsed="false"/>
    <row r="52" s="60" customFormat="true" ht="12.75" hidden="false" customHeight="true" outlineLevel="0" collapsed="false"/>
    <row r="53" s="60" customFormat="true" ht="12.75" hidden="false" customHeight="true" outlineLevel="0" collapsed="false"/>
  </sheetData>
  <sheetProtection algorithmName="SHA-512" hashValue="fEfukwIELT7xO0CTu8lVoYQxP6zUuf77OLUyJIvH4jyyxiCDIIBdLUpEnaczVLJv7YHcezEnBwGeBNMCHs2B3A==" saltValue="OjpEuBt6JKszOKF9dFtqRA==" spinCount="100000" sheet="true" objects="true" scenarios="true"/>
  <mergeCells count="5">
    <mergeCell ref="A2:B2"/>
    <mergeCell ref="C3:G3"/>
    <mergeCell ref="A10:C10"/>
    <mergeCell ref="A15:B15"/>
    <mergeCell ref="J33:S39"/>
  </mergeCells>
  <dataValidations count="2">
    <dataValidation allowBlank="true" operator="between" showDropDown="false" showErrorMessage="true" showInputMessage="true" sqref="C6" type="list">
      <formula1>"30,60,90,100,180,200,270,365,366"</formula1>
      <formula2>0</formula2>
    </dataValidation>
    <dataValidation allowBlank="true" operator="between" showDropDown="false" showErrorMessage="true" showInputMessage="true" sqref="B29" type="list">
      <formula1>"0,50,100,150"</formula1>
      <formula2>0</formula2>
    </dataValidation>
  </dataValidations>
  <printOptions headings="false" gridLines="false" gridLinesSet="true" horizontalCentered="false" verticalCentered="false"/>
  <pageMargins left="0.196527777777778" right="0.196527777777778" top="0.275694444444444" bottom="0.275694444444444"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84"/>
  <sheetViews>
    <sheetView showFormulas="false" showGridLines="true" showRowColHeaders="true" showZeros="true" rightToLeft="false" tabSelected="false" showOutlineSymbols="true" defaultGridColor="true" view="normal" topLeftCell="A31" colorId="64" zoomScale="148" zoomScaleNormal="148" zoomScalePageLayoutView="160" workbookViewId="0">
      <selection pane="topLeft" activeCell="AG42" activeCellId="0" sqref="AG42"/>
    </sheetView>
  </sheetViews>
  <sheetFormatPr defaultColWidth="9.15625" defaultRowHeight="12.75" zeroHeight="false" outlineLevelRow="0" outlineLevelCol="0"/>
  <cols>
    <col collapsed="false" customWidth="true" hidden="false" outlineLevel="0" max="1" min="1" style="78" width="1.71"/>
    <col collapsed="false" customWidth="true" hidden="false" outlineLevel="0" max="5" min="2" style="78" width="3.71"/>
    <col collapsed="false" customWidth="true" hidden="false" outlineLevel="0" max="6" min="6" style="78" width="4.43"/>
    <col collapsed="false" customWidth="true" hidden="false" outlineLevel="0" max="7" min="7" style="78" width="3.71"/>
    <col collapsed="false" customWidth="true" hidden="false" outlineLevel="0" max="8" min="8" style="78" width="5.28"/>
    <col collapsed="false" customWidth="true" hidden="false" outlineLevel="0" max="9" min="9" style="78" width="3.71"/>
    <col collapsed="false" customWidth="true" hidden="false" outlineLevel="0" max="10" min="10" style="78" width="6.71"/>
    <col collapsed="false" customWidth="true" hidden="false" outlineLevel="0" max="11" min="11" style="78" width="4.43"/>
    <col collapsed="false" customWidth="true" hidden="false" outlineLevel="0" max="14" min="12" style="78" width="3.71"/>
    <col collapsed="false" customWidth="true" hidden="false" outlineLevel="0" max="15" min="15" style="78" width="4.86"/>
    <col collapsed="false" customWidth="true" hidden="false" outlineLevel="0" max="17" min="16" style="78" width="4.29"/>
    <col collapsed="false" customWidth="true" hidden="false" outlineLevel="0" max="18" min="18" style="78" width="4.71"/>
    <col collapsed="false" customWidth="true" hidden="false" outlineLevel="0" max="22" min="19" style="78" width="4.29"/>
    <col collapsed="false" customWidth="true" hidden="false" outlineLevel="0" max="23" min="23" style="78" width="3.14"/>
    <col collapsed="false" customWidth="true" hidden="false" outlineLevel="0" max="24" min="24" style="78" width="3.29"/>
    <col collapsed="false" customWidth="true" hidden="false" outlineLevel="0" max="25" min="25" style="78" width="3.71"/>
    <col collapsed="false" customWidth="true" hidden="false" outlineLevel="0" max="26" min="26" style="78" width="3.86"/>
    <col collapsed="false" customWidth="true" hidden="false" outlineLevel="0" max="27" min="27" style="78" width="4.29"/>
    <col collapsed="false" customWidth="true" hidden="false" outlineLevel="0" max="35" min="28" style="78" width="3.57"/>
    <col collapsed="false" customWidth="true" hidden="false" outlineLevel="0" max="58" min="36" style="78" width="2"/>
    <col collapsed="false" customWidth="true" hidden="false" outlineLevel="0" max="59" min="59" style="78" width="1.14"/>
    <col collapsed="false" customWidth="true" hidden="false" outlineLevel="0" max="69" min="60" style="78" width="3.71"/>
    <col collapsed="false" customWidth="false" hidden="false" outlineLevel="0" max="1024" min="70" style="78" width="9.14"/>
  </cols>
  <sheetData>
    <row r="1" s="80" customFormat="true" ht="22.5" hidden="false" customHeight="true" outlineLevel="0" collapsed="false">
      <c r="A1" s="79" t="s">
        <v>41</v>
      </c>
      <c r="B1" s="79"/>
      <c r="C1" s="79"/>
      <c r="D1" s="79"/>
      <c r="E1" s="79"/>
      <c r="F1" s="79"/>
      <c r="G1" s="79"/>
      <c r="H1" s="79"/>
      <c r="I1" s="79"/>
      <c r="J1" s="79"/>
      <c r="K1" s="79"/>
      <c r="L1" s="79"/>
      <c r="M1" s="79"/>
      <c r="N1" s="79"/>
      <c r="O1" s="79"/>
      <c r="P1" s="79"/>
      <c r="Q1" s="79"/>
      <c r="R1" s="79"/>
      <c r="S1" s="79"/>
      <c r="T1" s="79"/>
      <c r="U1" s="79"/>
      <c r="V1" s="79"/>
      <c r="W1" s="79"/>
      <c r="X1" s="79"/>
      <c r="Y1" s="79"/>
      <c r="Z1" s="79"/>
      <c r="AA1" s="79"/>
    </row>
    <row r="2" s="80" customFormat="true" ht="9.95" hidden="false" customHeight="true" outlineLevel="0" collapsed="false">
      <c r="B2" s="81" t="s">
        <v>42</v>
      </c>
      <c r="C2" s="81"/>
      <c r="D2" s="81"/>
      <c r="E2" s="81"/>
      <c r="F2" s="81"/>
      <c r="G2" s="81"/>
      <c r="H2" s="81"/>
      <c r="I2" s="81"/>
      <c r="J2" s="81"/>
      <c r="K2" s="81"/>
      <c r="L2" s="81"/>
      <c r="M2" s="81"/>
      <c r="N2" s="81"/>
      <c r="O2" s="81"/>
      <c r="P2" s="81"/>
      <c r="Q2" s="81"/>
      <c r="R2" s="81"/>
      <c r="S2" s="81"/>
      <c r="T2" s="81"/>
      <c r="U2" s="81"/>
      <c r="V2" s="81"/>
      <c r="W2" s="81"/>
      <c r="X2" s="81"/>
      <c r="Y2" s="81"/>
      <c r="Z2" s="81"/>
      <c r="AA2" s="81"/>
    </row>
    <row r="3" customFormat="false" ht="9" hidden="false" customHeight="true" outlineLevel="0" collapsed="false">
      <c r="B3" s="82" t="s">
        <v>43</v>
      </c>
      <c r="C3" s="82"/>
      <c r="D3" s="82"/>
      <c r="E3" s="82"/>
      <c r="F3" s="82"/>
      <c r="G3" s="82"/>
      <c r="H3" s="82"/>
      <c r="I3" s="82"/>
      <c r="J3" s="82"/>
      <c r="K3" s="82"/>
      <c r="L3" s="82"/>
      <c r="M3" s="82"/>
      <c r="N3" s="82"/>
      <c r="O3" s="82"/>
      <c r="P3" s="83" t="s">
        <v>44</v>
      </c>
      <c r="Q3" s="83"/>
      <c r="R3" s="83" t="s">
        <v>45</v>
      </c>
      <c r="S3" s="83"/>
      <c r="T3" s="84" t="n">
        <f aca="false">'Заповнення полісу'!E5</f>
        <v>21</v>
      </c>
      <c r="U3" s="84" t="n">
        <f aca="false">'Заповнення полісу'!F5</f>
        <v>2</v>
      </c>
      <c r="V3" s="85" t="n">
        <f aca="false">'Заповнення полісу'!G5</f>
        <v>2021</v>
      </c>
      <c r="W3" s="83" t="s">
        <v>46</v>
      </c>
      <c r="X3" s="83"/>
      <c r="Y3" s="84" t="n">
        <f aca="false">'Заповнення полісу'!E6</f>
        <v>20</v>
      </c>
      <c r="Z3" s="84" t="n">
        <f aca="false">'Заповнення полісу'!F6</f>
        <v>2</v>
      </c>
      <c r="AA3" s="85" t="n">
        <f aca="false">'Заповнення полісу'!G6</f>
        <v>2022</v>
      </c>
    </row>
    <row r="4" customFormat="false" ht="7.5" hidden="false" customHeight="true" outlineLevel="0" collapsed="false">
      <c r="B4" s="86" t="s">
        <v>47</v>
      </c>
      <c r="C4" s="86"/>
      <c r="D4" s="86"/>
      <c r="E4" s="86"/>
      <c r="F4" s="87" t="str">
        <f aca="false">'Заповнення полісу'!B3</f>
        <v>SAVONCHUK NADIIA</v>
      </c>
      <c r="G4" s="87"/>
      <c r="H4" s="87"/>
      <c r="I4" s="87"/>
      <c r="J4" s="87"/>
      <c r="K4" s="88" t="s">
        <v>48</v>
      </c>
      <c r="L4" s="88"/>
      <c r="M4" s="88"/>
      <c r="N4" s="88"/>
      <c r="O4" s="88"/>
      <c r="P4" s="83"/>
      <c r="Q4" s="83"/>
      <c r="R4" s="83"/>
      <c r="S4" s="83"/>
      <c r="T4" s="89" t="s">
        <v>6</v>
      </c>
      <c r="U4" s="89" t="s">
        <v>7</v>
      </c>
      <c r="V4" s="90" t="s">
        <v>8</v>
      </c>
      <c r="W4" s="83"/>
      <c r="X4" s="83"/>
      <c r="Y4" s="89" t="s">
        <v>6</v>
      </c>
      <c r="Z4" s="89" t="s">
        <v>7</v>
      </c>
      <c r="AA4" s="90" t="s">
        <v>8</v>
      </c>
    </row>
    <row r="5" customFormat="false" ht="10.5" hidden="false" customHeight="true" outlineLevel="0" collapsed="false">
      <c r="B5" s="91" t="s">
        <v>49</v>
      </c>
      <c r="C5" s="91"/>
      <c r="D5" s="91"/>
      <c r="E5" s="91"/>
      <c r="F5" s="87"/>
      <c r="G5" s="87"/>
      <c r="H5" s="87"/>
      <c r="I5" s="87"/>
      <c r="J5" s="87"/>
      <c r="K5" s="92" t="s">
        <v>50</v>
      </c>
      <c r="L5" s="92"/>
      <c r="M5" s="92"/>
      <c r="N5" s="92"/>
      <c r="O5" s="93" t="s">
        <v>51</v>
      </c>
      <c r="P5" s="94" t="n">
        <f aca="false">'Заповнення полісу'!C6</f>
        <v>30</v>
      </c>
      <c r="Q5" s="94"/>
      <c r="R5" s="83"/>
      <c r="S5" s="83"/>
      <c r="T5" s="95" t="s">
        <v>52</v>
      </c>
      <c r="U5" s="95" t="s">
        <v>53</v>
      </c>
      <c r="V5" s="96" t="s">
        <v>54</v>
      </c>
      <c r="W5" s="83"/>
      <c r="X5" s="83"/>
      <c r="Y5" s="95" t="s">
        <v>52</v>
      </c>
      <c r="Z5" s="95" t="s">
        <v>53</v>
      </c>
      <c r="AA5" s="96" t="s">
        <v>54</v>
      </c>
    </row>
    <row r="6" customFormat="false" ht="8.25" hidden="false" customHeight="true" outlineLevel="0" collapsed="false">
      <c r="B6" s="97" t="s">
        <v>55</v>
      </c>
      <c r="C6" s="97"/>
      <c r="D6" s="98" t="str">
        <f aca="false">'Заповнення полісу'!B4</f>
        <v>FJ428913</v>
      </c>
      <c r="E6" s="98"/>
      <c r="F6" s="98"/>
      <c r="G6" s="99" t="s">
        <v>56</v>
      </c>
      <c r="H6" s="99"/>
      <c r="I6" s="99"/>
      <c r="J6" s="100" t="n">
        <f aca="false">'Заповнення полісу'!B5</f>
        <v>27251</v>
      </c>
      <c r="K6" s="100"/>
      <c r="L6" s="99" t="s">
        <v>57</v>
      </c>
      <c r="M6" s="99"/>
      <c r="N6" s="101" t="n">
        <f aca="false">'Заповнення полісу'!B6</f>
        <v>0</v>
      </c>
      <c r="O6" s="101"/>
      <c r="P6" s="102" t="s">
        <v>58</v>
      </c>
      <c r="Q6" s="102"/>
      <c r="R6" s="102"/>
      <c r="S6" s="102"/>
      <c r="T6" s="102"/>
      <c r="U6" s="102"/>
      <c r="V6" s="103" t="s">
        <v>59</v>
      </c>
      <c r="W6" s="103"/>
      <c r="X6" s="103"/>
      <c r="Y6" s="103"/>
      <c r="Z6" s="103"/>
      <c r="AA6" s="103"/>
    </row>
    <row r="7" customFormat="false" ht="8.25" hidden="false" customHeight="true" outlineLevel="0" collapsed="false">
      <c r="B7" s="104" t="s">
        <v>60</v>
      </c>
      <c r="C7" s="104"/>
      <c r="D7" s="98"/>
      <c r="E7" s="98"/>
      <c r="F7" s="98"/>
      <c r="G7" s="99" t="s">
        <v>61</v>
      </c>
      <c r="H7" s="99"/>
      <c r="I7" s="99"/>
      <c r="J7" s="100"/>
      <c r="K7" s="100"/>
      <c r="L7" s="99" t="s">
        <v>62</v>
      </c>
      <c r="M7" s="99"/>
      <c r="N7" s="101"/>
      <c r="O7" s="101"/>
      <c r="P7" s="102" t="s">
        <v>63</v>
      </c>
      <c r="Q7" s="102"/>
      <c r="R7" s="102"/>
      <c r="S7" s="102"/>
      <c r="T7" s="102"/>
      <c r="U7" s="102"/>
      <c r="V7" s="103" t="s">
        <v>64</v>
      </c>
      <c r="W7" s="103"/>
      <c r="X7" s="103"/>
      <c r="Y7" s="103"/>
      <c r="Z7" s="103"/>
      <c r="AA7" s="103"/>
    </row>
    <row r="8" customFormat="false" ht="9" hidden="false" customHeight="true" outlineLevel="0" collapsed="false">
      <c r="B8" s="105" t="s">
        <v>65</v>
      </c>
      <c r="C8" s="105"/>
      <c r="D8" s="105"/>
      <c r="E8" s="105"/>
      <c r="F8" s="106" t="str">
        <f aca="false">'Заповнення полісу'!B7</f>
        <v>Ukraine, m.Kyiv, vul. Uritskogo, 11/89</v>
      </c>
      <c r="G8" s="106"/>
      <c r="H8" s="106"/>
      <c r="I8" s="106"/>
      <c r="J8" s="106"/>
      <c r="K8" s="106"/>
      <c r="L8" s="106"/>
      <c r="M8" s="106"/>
      <c r="N8" s="106"/>
      <c r="O8" s="106"/>
      <c r="P8" s="107" t="s">
        <v>66</v>
      </c>
      <c r="Q8" s="107"/>
      <c r="R8" s="107"/>
      <c r="S8" s="108" t="s">
        <v>67</v>
      </c>
      <c r="T8" s="108"/>
      <c r="U8" s="108"/>
      <c r="V8" s="109" t="s">
        <v>68</v>
      </c>
      <c r="W8" s="109"/>
      <c r="X8" s="109"/>
      <c r="Y8" s="110" t="s">
        <v>69</v>
      </c>
      <c r="Z8" s="111" t="n">
        <f aca="false">IF(AND((T16-J6)&gt;=18*365.25,(T16-N13)&gt;=18*365.25,(T16-N13)&lt;71*365.25),'Заповнення полісу'!B21,0)</f>
        <v>300</v>
      </c>
      <c r="AA8" s="111"/>
    </row>
    <row r="9" customFormat="false" ht="9" hidden="false" customHeight="true" outlineLevel="0" collapsed="false">
      <c r="B9" s="112" t="s">
        <v>37</v>
      </c>
      <c r="C9" s="112"/>
      <c r="D9" s="112"/>
      <c r="E9" s="112"/>
      <c r="F9" s="112"/>
      <c r="G9" s="112"/>
      <c r="H9" s="112"/>
      <c r="I9" s="112"/>
      <c r="J9" s="112"/>
      <c r="K9" s="113" t="str">
        <f aca="false">'Заповнення полісу'!B31</f>
        <v>Європа/Europe</v>
      </c>
      <c r="L9" s="113"/>
      <c r="M9" s="113"/>
      <c r="N9" s="113"/>
      <c r="O9" s="113"/>
      <c r="P9" s="114" t="s">
        <v>70</v>
      </c>
      <c r="Q9" s="114"/>
      <c r="R9" s="114"/>
      <c r="S9" s="114" t="s">
        <v>71</v>
      </c>
      <c r="T9" s="114"/>
      <c r="U9" s="114"/>
      <c r="V9" s="109"/>
      <c r="W9" s="109"/>
      <c r="X9" s="109"/>
      <c r="Y9" s="115" t="s">
        <v>72</v>
      </c>
      <c r="Z9" s="111" t="s">
        <v>73</v>
      </c>
      <c r="AA9" s="111"/>
    </row>
    <row r="10" customFormat="false" ht="9" hidden="false" customHeight="true" outlineLevel="0" collapsed="false">
      <c r="B10" s="82" t="s">
        <v>74</v>
      </c>
      <c r="C10" s="82"/>
      <c r="D10" s="82"/>
      <c r="E10" s="82"/>
      <c r="F10" s="82"/>
      <c r="G10" s="82"/>
      <c r="H10" s="82"/>
      <c r="I10" s="82"/>
      <c r="J10" s="82"/>
      <c r="K10" s="82"/>
      <c r="L10" s="82"/>
      <c r="M10" s="82"/>
      <c r="N10" s="82"/>
      <c r="O10" s="82"/>
      <c r="P10" s="116" t="s">
        <v>75</v>
      </c>
      <c r="Q10" s="116"/>
      <c r="R10" s="116"/>
      <c r="S10" s="117" t="s">
        <v>76</v>
      </c>
      <c r="T10" s="117"/>
      <c r="U10" s="117"/>
      <c r="V10" s="118" t="s">
        <v>77</v>
      </c>
      <c r="W10" s="118"/>
      <c r="X10" s="118"/>
      <c r="Y10" s="119" t="s">
        <v>78</v>
      </c>
      <c r="Z10" s="111" t="n">
        <f aca="false">IF(AND((T16-N13)&gt;=18*365.25,(T16-N13)&gt;=18*365.25,(T16-N13)&lt;71*365.25),'Заповнення полісу'!B23,0)</f>
        <v>300</v>
      </c>
      <c r="AA10" s="111"/>
    </row>
    <row r="11" customFormat="false" ht="9" hidden="false" customHeight="true" outlineLevel="0" collapsed="false">
      <c r="B11" s="120" t="s">
        <v>79</v>
      </c>
      <c r="C11" s="120"/>
      <c r="D11" s="120"/>
      <c r="E11" s="120"/>
      <c r="F11" s="120"/>
      <c r="G11" s="120" t="s">
        <v>55</v>
      </c>
      <c r="H11" s="120"/>
      <c r="I11" s="120" t="s">
        <v>80</v>
      </c>
      <c r="J11" s="120"/>
      <c r="K11" s="120"/>
      <c r="L11" s="120"/>
      <c r="M11" s="120"/>
      <c r="N11" s="121" t="s">
        <v>81</v>
      </c>
      <c r="O11" s="121"/>
      <c r="P11" s="116"/>
      <c r="Q11" s="116"/>
      <c r="R11" s="116"/>
      <c r="S11" s="117"/>
      <c r="T11" s="117"/>
      <c r="U11" s="117"/>
      <c r="V11" s="122" t="s">
        <v>31</v>
      </c>
      <c r="W11" s="122"/>
      <c r="X11" s="122"/>
      <c r="Y11" s="122"/>
      <c r="Z11" s="106" t="n">
        <f aca="false">'Заповнення полісу'!B25</f>
        <v>1</v>
      </c>
      <c r="AA11" s="106"/>
    </row>
    <row r="12" customFormat="false" ht="9" hidden="false" customHeight="true" outlineLevel="0" collapsed="false">
      <c r="B12" s="123" t="s">
        <v>82</v>
      </c>
      <c r="C12" s="123"/>
      <c r="D12" s="123"/>
      <c r="E12" s="123"/>
      <c r="F12" s="123"/>
      <c r="G12" s="123" t="s">
        <v>60</v>
      </c>
      <c r="H12" s="123"/>
      <c r="I12" s="123" t="s">
        <v>83</v>
      </c>
      <c r="J12" s="123"/>
      <c r="K12" s="123"/>
      <c r="L12" s="123"/>
      <c r="M12" s="123"/>
      <c r="N12" s="124" t="s">
        <v>84</v>
      </c>
      <c r="O12" s="124"/>
      <c r="P12" s="125" t="s">
        <v>85</v>
      </c>
      <c r="Q12" s="125"/>
      <c r="R12" s="125"/>
      <c r="S12" s="126" t="n">
        <f aca="false">'Заповнення полісу'!B18</f>
        <v>0.0333</v>
      </c>
      <c r="T12" s="126"/>
      <c r="U12" s="126"/>
      <c r="V12" s="127" t="s">
        <v>86</v>
      </c>
      <c r="W12" s="127"/>
      <c r="X12" s="127"/>
      <c r="Y12" s="127"/>
      <c r="Z12" s="106"/>
      <c r="AA12" s="106"/>
    </row>
    <row r="13" customFormat="false" ht="9" hidden="false" customHeight="true" outlineLevel="0" collapsed="false">
      <c r="B13" s="128" t="str">
        <f aca="false">'Заповнення полісу'!A12</f>
        <v>SAVONCHUK NADIIA</v>
      </c>
      <c r="C13" s="128"/>
      <c r="D13" s="128"/>
      <c r="E13" s="128"/>
      <c r="F13" s="128"/>
      <c r="G13" s="129" t="str">
        <f aca="false">'Заповнення полісу'!B12</f>
        <v>FJ428913</v>
      </c>
      <c r="H13" s="129"/>
      <c r="I13" s="130" t="str">
        <f aca="false">F8</f>
        <v>Ukraine, m.Kyiv, vul. Uritskogo, 11/89</v>
      </c>
      <c r="J13" s="130"/>
      <c r="K13" s="130"/>
      <c r="L13" s="130"/>
      <c r="M13" s="130"/>
      <c r="N13" s="113" t="n">
        <f aca="false">'Заповнення полісу'!C12</f>
        <v>27251</v>
      </c>
      <c r="O13" s="113"/>
      <c r="P13" s="131" t="s">
        <v>87</v>
      </c>
      <c r="Q13" s="131"/>
      <c r="R13" s="131"/>
      <c r="S13" s="132" t="s">
        <v>88</v>
      </c>
      <c r="T13" s="133" t="s">
        <v>89</v>
      </c>
      <c r="U13" s="133"/>
      <c r="V13" s="134" t="s">
        <v>90</v>
      </c>
      <c r="W13" s="134"/>
      <c r="X13" s="134"/>
      <c r="Y13" s="110" t="s">
        <v>69</v>
      </c>
      <c r="Z13" s="111" t="n">
        <f aca="false">IF(AND((T16-N13)&gt;=18*365.25,(T16-N13)&gt;=18*365.25,(T16-N13)&lt;71*365.25),'Заповнення полісу'!B26,0)</f>
        <v>300</v>
      </c>
      <c r="AA13" s="111"/>
    </row>
    <row r="14" customFormat="false" ht="9" hidden="false" customHeight="true" outlineLevel="0" collapsed="false">
      <c r="B14" s="106" t="n">
        <f aca="false">'Заповнення полісу'!A13</f>
        <v>0</v>
      </c>
      <c r="C14" s="106"/>
      <c r="D14" s="106"/>
      <c r="E14" s="106"/>
      <c r="F14" s="106"/>
      <c r="G14" s="106" t="n">
        <f aca="false">'Заповнення полісу'!B13</f>
        <v>0</v>
      </c>
      <c r="H14" s="106"/>
      <c r="I14" s="135"/>
      <c r="J14" s="135"/>
      <c r="K14" s="135"/>
      <c r="L14" s="135"/>
      <c r="M14" s="135"/>
      <c r="N14" s="113" t="n">
        <f aca="false">'Заповнення полісу'!C13</f>
        <v>0</v>
      </c>
      <c r="O14" s="113"/>
      <c r="P14" s="131"/>
      <c r="Q14" s="131"/>
      <c r="R14" s="131"/>
      <c r="S14" s="132"/>
      <c r="T14" s="136" t="s">
        <v>91</v>
      </c>
      <c r="U14" s="136"/>
      <c r="V14" s="134"/>
      <c r="W14" s="134"/>
      <c r="X14" s="134"/>
      <c r="Y14" s="115" t="s">
        <v>72</v>
      </c>
      <c r="Z14" s="111" t="s">
        <v>73</v>
      </c>
      <c r="AA14" s="111"/>
    </row>
    <row r="15" customFormat="false" ht="9" hidden="false" customHeight="true" outlineLevel="0" collapsed="false">
      <c r="B15" s="106" t="n">
        <f aca="false">'Заповнення полісу'!A14</f>
        <v>0</v>
      </c>
      <c r="C15" s="106"/>
      <c r="D15" s="106"/>
      <c r="E15" s="106"/>
      <c r="F15" s="106"/>
      <c r="G15" s="106" t="n">
        <f aca="false">'Заповнення полісу'!B14</f>
        <v>0</v>
      </c>
      <c r="H15" s="106"/>
      <c r="I15" s="135"/>
      <c r="J15" s="135"/>
      <c r="K15" s="135"/>
      <c r="L15" s="135"/>
      <c r="M15" s="135"/>
      <c r="N15" s="113" t="n">
        <f aca="false">'Заповнення полісу'!C14</f>
        <v>0</v>
      </c>
      <c r="O15" s="113"/>
      <c r="P15" s="131"/>
      <c r="Q15" s="131"/>
      <c r="R15" s="131"/>
      <c r="S15" s="132"/>
      <c r="T15" s="137" t="s">
        <v>92</v>
      </c>
      <c r="U15" s="137"/>
      <c r="V15" s="134"/>
      <c r="W15" s="134"/>
      <c r="X15" s="134"/>
      <c r="Y15" s="119" t="s">
        <v>78</v>
      </c>
      <c r="Z15" s="111" t="n">
        <f aca="false">IF(AND((T16-N13)&gt;=18*365.25,(T16-N13)&gt;=18*365.25,(T16-N13)&lt;71*365.25),'Заповнення полісу'!B28,0)</f>
        <v>300</v>
      </c>
      <c r="AA15" s="111"/>
    </row>
    <row r="16" customFormat="false" ht="9" hidden="false" customHeight="true" outlineLevel="0" collapsed="false">
      <c r="B16" s="138" t="s">
        <v>93</v>
      </c>
      <c r="C16" s="138"/>
      <c r="D16" s="138"/>
      <c r="E16" s="138"/>
      <c r="F16" s="138"/>
      <c r="G16" s="138"/>
      <c r="H16" s="138"/>
      <c r="I16" s="138"/>
      <c r="J16" s="138"/>
      <c r="K16" s="138"/>
      <c r="L16" s="138"/>
      <c r="M16" s="138"/>
      <c r="N16" s="138"/>
      <c r="O16" s="138"/>
      <c r="P16" s="131" t="s">
        <v>94</v>
      </c>
      <c r="Q16" s="131"/>
      <c r="R16" s="131"/>
      <c r="S16" s="131"/>
      <c r="T16" s="139" t="n">
        <f aca="false">'Заповнення полісу'!B30</f>
        <v>44449</v>
      </c>
      <c r="U16" s="139"/>
      <c r="V16" s="140" t="s">
        <v>95</v>
      </c>
      <c r="W16" s="140"/>
      <c r="X16" s="140"/>
      <c r="Y16" s="140"/>
      <c r="Z16" s="141" t="str">
        <f aca="false">IF('Заповнення полісу'!B29=0,IF(('ДРУК ПОЛІСУ'!T16-'ДРУК ПОЛІСУ'!J6)&gt;=76*365.25,500,"0"),IF(('ДРУК ПОЛІСУ'!T16-'ДРУК ПОЛІСУ'!J6)&gt;=76*365.25,500,'Заповнення полісу'!B29))</f>
        <v>0</v>
      </c>
      <c r="AA16" s="142" t="s">
        <v>96</v>
      </c>
    </row>
    <row r="17" customFormat="false" ht="9" hidden="false" customHeight="true" outlineLevel="0" collapsed="false">
      <c r="B17" s="143" t="str">
        <f aca="false">F4</f>
        <v>SAVONCHUK NADIIA</v>
      </c>
      <c r="C17" s="143"/>
      <c r="D17" s="143"/>
      <c r="E17" s="143"/>
      <c r="F17" s="143"/>
      <c r="G17" s="137" t="str">
        <f aca="false">D6</f>
        <v>FJ428913</v>
      </c>
      <c r="H17" s="137"/>
      <c r="I17" s="130" t="str">
        <f aca="false">I13</f>
        <v>Ukraine, m.Kyiv, vul. Uritskogo, 11/89</v>
      </c>
      <c r="J17" s="130"/>
      <c r="K17" s="130"/>
      <c r="L17" s="130"/>
      <c r="M17" s="130"/>
      <c r="N17" s="144" t="n">
        <f aca="false">J6</f>
        <v>27251</v>
      </c>
      <c r="O17" s="144"/>
      <c r="P17" s="131"/>
      <c r="Q17" s="131"/>
      <c r="R17" s="131"/>
      <c r="S17" s="131"/>
      <c r="T17" s="139"/>
      <c r="U17" s="139"/>
      <c r="V17" s="145" t="s">
        <v>97</v>
      </c>
      <c r="W17" s="145"/>
      <c r="X17" s="145"/>
      <c r="Y17" s="145"/>
      <c r="Z17" s="141"/>
      <c r="AA17" s="142"/>
    </row>
    <row r="18" customFormat="false" ht="9" hidden="false" customHeight="true" outlineLevel="0" collapsed="false">
      <c r="B18" s="146" t="s">
        <v>98</v>
      </c>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customFormat="false" ht="8.25" hidden="false" customHeight="false" outlineLevel="0" collapsed="false">
      <c r="B19" s="147" t="s">
        <v>99</v>
      </c>
      <c r="C19" s="147"/>
      <c r="D19" s="147"/>
      <c r="E19" s="147"/>
      <c r="F19" s="147"/>
      <c r="G19" s="147"/>
      <c r="H19" s="147"/>
      <c r="I19" s="147"/>
      <c r="J19" s="147"/>
      <c r="K19" s="147"/>
      <c r="L19" s="147"/>
      <c r="M19" s="147"/>
      <c r="N19" s="147"/>
      <c r="O19" s="147"/>
      <c r="P19" s="147"/>
      <c r="Q19" s="147"/>
      <c r="R19" s="147"/>
      <c r="S19" s="147"/>
      <c r="T19" s="147"/>
      <c r="U19" s="147"/>
      <c r="V19" s="147"/>
      <c r="W19" s="147"/>
      <c r="X19" s="147"/>
      <c r="Y19" s="147"/>
      <c r="Z19" s="147"/>
      <c r="AA19" s="147"/>
    </row>
    <row r="20" customFormat="false" ht="7.5" hidden="false" customHeight="true" outlineLevel="0" collapsed="false">
      <c r="B20" s="148" t="s">
        <v>100</v>
      </c>
      <c r="C20" s="148"/>
      <c r="D20" s="148"/>
      <c r="E20" s="148"/>
      <c r="F20" s="148"/>
      <c r="G20" s="148"/>
      <c r="H20" s="148"/>
      <c r="I20" s="148"/>
      <c r="J20" s="148"/>
      <c r="K20" s="148"/>
      <c r="L20" s="148"/>
      <c r="M20" s="148"/>
      <c r="N20" s="148"/>
      <c r="O20" s="148"/>
      <c r="P20" s="148"/>
      <c r="Q20" s="148"/>
      <c r="R20" s="148"/>
      <c r="S20" s="148"/>
      <c r="T20" s="148"/>
      <c r="U20" s="148"/>
      <c r="V20" s="148"/>
      <c r="W20" s="148"/>
      <c r="X20" s="148"/>
      <c r="Y20" s="148"/>
      <c r="Z20" s="148"/>
      <c r="AA20" s="148"/>
    </row>
    <row r="21" customFormat="false" ht="7.5" hidden="false" customHeight="true" outlineLevel="0" collapsed="false">
      <c r="B21" s="149" t="s">
        <v>101</v>
      </c>
      <c r="C21" s="149"/>
      <c r="D21" s="149"/>
      <c r="E21" s="149"/>
      <c r="F21" s="149"/>
      <c r="G21" s="149"/>
      <c r="H21" s="149"/>
      <c r="I21" s="149"/>
      <c r="J21" s="149"/>
      <c r="K21" s="149"/>
      <c r="L21" s="149"/>
      <c r="M21" s="149"/>
      <c r="N21" s="149"/>
      <c r="O21" s="149"/>
      <c r="P21" s="149"/>
      <c r="Q21" s="149"/>
      <c r="R21" s="149"/>
      <c r="S21" s="149"/>
      <c r="T21" s="149"/>
      <c r="U21" s="149"/>
      <c r="V21" s="150" t="s">
        <v>102</v>
      </c>
      <c r="W21" s="150"/>
      <c r="X21" s="150"/>
      <c r="Y21" s="150"/>
      <c r="Z21" s="150"/>
      <c r="AA21" s="150"/>
    </row>
    <row r="22" customFormat="false" ht="7.5" hidden="false" customHeight="true" outlineLevel="0" collapsed="false">
      <c r="B22" s="149"/>
      <c r="C22" s="149"/>
      <c r="D22" s="149"/>
      <c r="E22" s="149"/>
      <c r="F22" s="149"/>
      <c r="G22" s="149"/>
      <c r="H22" s="149"/>
      <c r="I22" s="149"/>
      <c r="J22" s="149"/>
      <c r="K22" s="149"/>
      <c r="L22" s="149"/>
      <c r="M22" s="149"/>
      <c r="N22" s="149"/>
      <c r="O22" s="149"/>
      <c r="P22" s="149"/>
      <c r="Q22" s="149"/>
      <c r="R22" s="149"/>
      <c r="S22" s="149"/>
      <c r="T22" s="149"/>
      <c r="U22" s="149"/>
      <c r="V22" s="150"/>
      <c r="W22" s="150"/>
      <c r="X22" s="150"/>
      <c r="Y22" s="150"/>
      <c r="Z22" s="150"/>
      <c r="AA22" s="150"/>
    </row>
    <row r="23" customFormat="false" ht="7.5" hidden="false" customHeight="true" outlineLevel="0" collapsed="false">
      <c r="B23" s="149"/>
      <c r="C23" s="149"/>
      <c r="D23" s="149"/>
      <c r="E23" s="149"/>
      <c r="F23" s="149"/>
      <c r="G23" s="149"/>
      <c r="H23" s="149"/>
      <c r="I23" s="149"/>
      <c r="J23" s="149"/>
      <c r="K23" s="149"/>
      <c r="L23" s="149"/>
      <c r="M23" s="149"/>
      <c r="N23" s="149"/>
      <c r="O23" s="149"/>
      <c r="P23" s="149"/>
      <c r="Q23" s="149"/>
      <c r="R23" s="149"/>
      <c r="S23" s="149"/>
      <c r="T23" s="149"/>
      <c r="U23" s="149"/>
      <c r="V23" s="150"/>
      <c r="W23" s="150"/>
      <c r="X23" s="150"/>
      <c r="Y23" s="150"/>
      <c r="Z23" s="150"/>
      <c r="AA23" s="150"/>
    </row>
    <row r="24" customFormat="false" ht="17.25" hidden="false" customHeight="true" outlineLevel="0" collapsed="false">
      <c r="B24" s="151" t="s">
        <v>103</v>
      </c>
      <c r="C24" s="151"/>
      <c r="D24" s="151"/>
      <c r="E24" s="151"/>
      <c r="F24" s="151"/>
      <c r="G24" s="151"/>
      <c r="H24" s="151"/>
      <c r="I24" s="151"/>
      <c r="J24" s="151"/>
      <c r="K24" s="151"/>
      <c r="L24" s="151"/>
      <c r="M24" s="151"/>
      <c r="N24" s="151"/>
      <c r="O24" s="151"/>
      <c r="P24" s="151"/>
      <c r="Q24" s="151"/>
      <c r="R24" s="151"/>
      <c r="S24" s="151"/>
      <c r="T24" s="151"/>
      <c r="U24" s="151"/>
      <c r="V24" s="150"/>
      <c r="W24" s="150"/>
      <c r="X24" s="150"/>
      <c r="Y24" s="150"/>
      <c r="Z24" s="150"/>
      <c r="AA24" s="150"/>
    </row>
    <row r="25" customFormat="false" ht="9.75" hidden="false" customHeight="true" outlineLevel="0" collapsed="false">
      <c r="B25" s="152" t="s">
        <v>104</v>
      </c>
      <c r="C25" s="152"/>
      <c r="D25" s="152"/>
      <c r="E25" s="152"/>
      <c r="F25" s="152"/>
      <c r="G25" s="152"/>
      <c r="H25" s="152"/>
      <c r="I25" s="153" t="s">
        <v>105</v>
      </c>
      <c r="J25" s="153"/>
      <c r="K25" s="153"/>
      <c r="L25" s="153"/>
      <c r="M25" s="153"/>
      <c r="N25" s="153"/>
      <c r="O25" s="154" t="s">
        <v>106</v>
      </c>
      <c r="P25" s="154"/>
      <c r="Q25" s="154"/>
      <c r="R25" s="154"/>
      <c r="S25" s="154"/>
      <c r="T25" s="154"/>
      <c r="U25" s="154"/>
      <c r="V25" s="155" t="s">
        <v>107</v>
      </c>
      <c r="W25" s="155"/>
      <c r="X25" s="155"/>
      <c r="Y25" s="155"/>
      <c r="Z25" s="155"/>
      <c r="AA25" s="155"/>
    </row>
    <row r="26" customFormat="false" ht="9" hidden="false" customHeight="true" outlineLevel="0" collapsed="false">
      <c r="B26" s="156" t="s">
        <v>108</v>
      </c>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row>
    <row r="27" customFormat="false" ht="9" hidden="false" customHeight="true" outlineLevel="0" collapsed="false">
      <c r="B27" s="157" t="s">
        <v>109</v>
      </c>
      <c r="C27" s="157"/>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7"/>
    </row>
    <row r="28" customFormat="false" ht="9" hidden="false" customHeight="true" outlineLevel="0" collapsed="false">
      <c r="B28" s="158" t="s">
        <v>110</v>
      </c>
      <c r="C28" s="158"/>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58"/>
    </row>
    <row r="29" s="80" customFormat="true" ht="66.75" hidden="false" customHeight="true" outlineLevel="0" collapsed="false">
      <c r="B29" s="159" t="s">
        <v>111</v>
      </c>
      <c r="C29" s="159"/>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row>
    <row r="30" s="80" customFormat="true" ht="9.95" hidden="false" customHeight="true" outlineLevel="0" collapsed="false">
      <c r="B30" s="160" t="s">
        <v>42</v>
      </c>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row>
    <row r="31" customFormat="false" ht="9" hidden="false" customHeight="true" outlineLevel="0" collapsed="false">
      <c r="B31" s="82" t="s">
        <v>43</v>
      </c>
      <c r="C31" s="82"/>
      <c r="D31" s="82"/>
      <c r="E31" s="82"/>
      <c r="F31" s="82"/>
      <c r="G31" s="82"/>
      <c r="H31" s="82"/>
      <c r="I31" s="82"/>
      <c r="J31" s="82"/>
      <c r="K31" s="82"/>
      <c r="L31" s="82"/>
      <c r="M31" s="82"/>
      <c r="N31" s="82"/>
      <c r="O31" s="82"/>
      <c r="P31" s="83" t="s">
        <v>44</v>
      </c>
      <c r="Q31" s="83"/>
      <c r="R31" s="83" t="s">
        <v>45</v>
      </c>
      <c r="S31" s="83"/>
      <c r="T31" s="84" t="n">
        <f aca="false">T3</f>
        <v>21</v>
      </c>
      <c r="U31" s="84" t="n">
        <f aca="false">U3</f>
        <v>2</v>
      </c>
      <c r="V31" s="85" t="n">
        <f aca="false">V3</f>
        <v>2021</v>
      </c>
      <c r="W31" s="83" t="s">
        <v>46</v>
      </c>
      <c r="X31" s="83"/>
      <c r="Y31" s="84" t="n">
        <f aca="false">Y3</f>
        <v>20</v>
      </c>
      <c r="Z31" s="84" t="n">
        <f aca="false">Z3</f>
        <v>2</v>
      </c>
      <c r="AA31" s="85" t="n">
        <f aca="false">AA3</f>
        <v>2022</v>
      </c>
    </row>
    <row r="32" customFormat="false" ht="7.5" hidden="false" customHeight="true" outlineLevel="0" collapsed="false">
      <c r="B32" s="86" t="s">
        <v>47</v>
      </c>
      <c r="C32" s="86"/>
      <c r="D32" s="86"/>
      <c r="E32" s="86"/>
      <c r="F32" s="87" t="str">
        <f aca="false">F4</f>
        <v>SAVONCHUK NADIIA</v>
      </c>
      <c r="G32" s="87"/>
      <c r="H32" s="87"/>
      <c r="I32" s="87"/>
      <c r="J32" s="87"/>
      <c r="K32" s="88" t="s">
        <v>48</v>
      </c>
      <c r="L32" s="88"/>
      <c r="M32" s="88"/>
      <c r="N32" s="88"/>
      <c r="O32" s="88"/>
      <c r="P32" s="83"/>
      <c r="Q32" s="83"/>
      <c r="R32" s="83"/>
      <c r="S32" s="83"/>
      <c r="T32" s="89" t="s">
        <v>6</v>
      </c>
      <c r="U32" s="89" t="s">
        <v>7</v>
      </c>
      <c r="V32" s="90" t="s">
        <v>8</v>
      </c>
      <c r="W32" s="83"/>
      <c r="X32" s="83"/>
      <c r="Y32" s="89" t="s">
        <v>6</v>
      </c>
      <c r="Z32" s="89" t="s">
        <v>7</v>
      </c>
      <c r="AA32" s="90" t="s">
        <v>8</v>
      </c>
    </row>
    <row r="33" customFormat="false" ht="10.5" hidden="false" customHeight="true" outlineLevel="0" collapsed="false">
      <c r="B33" s="91" t="s">
        <v>49</v>
      </c>
      <c r="C33" s="91"/>
      <c r="D33" s="91"/>
      <c r="E33" s="91"/>
      <c r="F33" s="87"/>
      <c r="G33" s="87"/>
      <c r="H33" s="87"/>
      <c r="I33" s="87"/>
      <c r="J33" s="87"/>
      <c r="K33" s="92" t="s">
        <v>50</v>
      </c>
      <c r="L33" s="92"/>
      <c r="M33" s="92"/>
      <c r="N33" s="92"/>
      <c r="O33" s="93" t="s">
        <v>51</v>
      </c>
      <c r="P33" s="94" t="n">
        <f aca="false">P5</f>
        <v>30</v>
      </c>
      <c r="Q33" s="94"/>
      <c r="R33" s="83"/>
      <c r="S33" s="83"/>
      <c r="T33" s="95" t="s">
        <v>52</v>
      </c>
      <c r="U33" s="95" t="s">
        <v>53</v>
      </c>
      <c r="V33" s="96" t="s">
        <v>54</v>
      </c>
      <c r="W33" s="83"/>
      <c r="X33" s="83"/>
      <c r="Y33" s="95" t="s">
        <v>52</v>
      </c>
      <c r="Z33" s="95" t="s">
        <v>53</v>
      </c>
      <c r="AA33" s="96" t="s">
        <v>54</v>
      </c>
    </row>
    <row r="34" customFormat="false" ht="8.25" hidden="false" customHeight="true" outlineLevel="0" collapsed="false">
      <c r="B34" s="97" t="s">
        <v>55</v>
      </c>
      <c r="C34" s="97"/>
      <c r="D34" s="98" t="str">
        <f aca="false">D6</f>
        <v>FJ428913</v>
      </c>
      <c r="E34" s="98"/>
      <c r="F34" s="98"/>
      <c r="G34" s="99" t="s">
        <v>56</v>
      </c>
      <c r="H34" s="99"/>
      <c r="I34" s="99"/>
      <c r="J34" s="100" t="n">
        <f aca="false">J6</f>
        <v>27251</v>
      </c>
      <c r="K34" s="100"/>
      <c r="L34" s="99" t="s">
        <v>57</v>
      </c>
      <c r="M34" s="99"/>
      <c r="N34" s="101" t="n">
        <f aca="false">N6</f>
        <v>0</v>
      </c>
      <c r="O34" s="101"/>
      <c r="P34" s="102" t="s">
        <v>58</v>
      </c>
      <c r="Q34" s="102"/>
      <c r="R34" s="102"/>
      <c r="S34" s="102"/>
      <c r="T34" s="102"/>
      <c r="U34" s="102"/>
      <c r="V34" s="103" t="s">
        <v>59</v>
      </c>
      <c r="W34" s="103"/>
      <c r="X34" s="103"/>
      <c r="Y34" s="103"/>
      <c r="Z34" s="103"/>
      <c r="AA34" s="103"/>
    </row>
    <row r="35" customFormat="false" ht="8.25" hidden="false" customHeight="true" outlineLevel="0" collapsed="false">
      <c r="B35" s="104" t="s">
        <v>60</v>
      </c>
      <c r="C35" s="104"/>
      <c r="D35" s="98"/>
      <c r="E35" s="98"/>
      <c r="F35" s="98"/>
      <c r="G35" s="99" t="s">
        <v>61</v>
      </c>
      <c r="H35" s="99"/>
      <c r="I35" s="99"/>
      <c r="J35" s="100"/>
      <c r="K35" s="100"/>
      <c r="L35" s="99" t="s">
        <v>62</v>
      </c>
      <c r="M35" s="99"/>
      <c r="N35" s="101"/>
      <c r="O35" s="101"/>
      <c r="P35" s="102" t="s">
        <v>63</v>
      </c>
      <c r="Q35" s="102"/>
      <c r="R35" s="102"/>
      <c r="S35" s="102"/>
      <c r="T35" s="102"/>
      <c r="U35" s="102"/>
      <c r="V35" s="103" t="s">
        <v>64</v>
      </c>
      <c r="W35" s="103"/>
      <c r="X35" s="103"/>
      <c r="Y35" s="103"/>
      <c r="Z35" s="103"/>
      <c r="AA35" s="103"/>
    </row>
    <row r="36" customFormat="false" ht="9" hidden="false" customHeight="true" outlineLevel="0" collapsed="false">
      <c r="B36" s="105" t="s">
        <v>65</v>
      </c>
      <c r="C36" s="105"/>
      <c r="D36" s="105"/>
      <c r="E36" s="105"/>
      <c r="F36" s="106" t="str">
        <f aca="false">F8</f>
        <v>Ukraine, m.Kyiv, vul. Uritskogo, 11/89</v>
      </c>
      <c r="G36" s="106"/>
      <c r="H36" s="106"/>
      <c r="I36" s="106"/>
      <c r="J36" s="106"/>
      <c r="K36" s="106"/>
      <c r="L36" s="106"/>
      <c r="M36" s="106"/>
      <c r="N36" s="106"/>
      <c r="O36" s="106"/>
      <c r="P36" s="107" t="s">
        <v>66</v>
      </c>
      <c r="Q36" s="107"/>
      <c r="R36" s="107"/>
      <c r="S36" s="108" t="s">
        <v>67</v>
      </c>
      <c r="T36" s="108"/>
      <c r="U36" s="108"/>
      <c r="V36" s="109" t="s">
        <v>68</v>
      </c>
      <c r="W36" s="109"/>
      <c r="X36" s="109"/>
      <c r="Y36" s="110" t="s">
        <v>69</v>
      </c>
      <c r="Z36" s="111" t="n">
        <f aca="false">Z8</f>
        <v>300</v>
      </c>
      <c r="AA36" s="111"/>
    </row>
    <row r="37" customFormat="false" ht="9" hidden="false" customHeight="true" outlineLevel="0" collapsed="false">
      <c r="B37" s="112" t="s">
        <v>37</v>
      </c>
      <c r="C37" s="112"/>
      <c r="D37" s="112"/>
      <c r="E37" s="112"/>
      <c r="F37" s="112"/>
      <c r="G37" s="112"/>
      <c r="H37" s="112"/>
      <c r="I37" s="112"/>
      <c r="J37" s="112"/>
      <c r="K37" s="106" t="str">
        <f aca="false">K9</f>
        <v>Європа/Europe</v>
      </c>
      <c r="L37" s="106"/>
      <c r="M37" s="106"/>
      <c r="N37" s="106"/>
      <c r="O37" s="106"/>
      <c r="P37" s="114" t="s">
        <v>70</v>
      </c>
      <c r="Q37" s="114"/>
      <c r="R37" s="114"/>
      <c r="S37" s="114" t="s">
        <v>71</v>
      </c>
      <c r="T37" s="114"/>
      <c r="U37" s="114"/>
      <c r="V37" s="109"/>
      <c r="W37" s="109"/>
      <c r="X37" s="109"/>
      <c r="Y37" s="115" t="s">
        <v>72</v>
      </c>
      <c r="Z37" s="111" t="s">
        <v>73</v>
      </c>
      <c r="AA37" s="111"/>
    </row>
    <row r="38" customFormat="false" ht="9" hidden="false" customHeight="true" outlineLevel="0" collapsed="false">
      <c r="B38" s="82" t="s">
        <v>74</v>
      </c>
      <c r="C38" s="82"/>
      <c r="D38" s="82"/>
      <c r="E38" s="82"/>
      <c r="F38" s="82"/>
      <c r="G38" s="82"/>
      <c r="H38" s="82"/>
      <c r="I38" s="82"/>
      <c r="J38" s="82"/>
      <c r="K38" s="82"/>
      <c r="L38" s="82"/>
      <c r="M38" s="82"/>
      <c r="N38" s="82"/>
      <c r="O38" s="82"/>
      <c r="P38" s="116" t="str">
        <f aca="false">P10</f>
        <v>30 000,00 EUR</v>
      </c>
      <c r="Q38" s="116"/>
      <c r="R38" s="116"/>
      <c r="S38" s="117" t="s">
        <v>76</v>
      </c>
      <c r="T38" s="117"/>
      <c r="U38" s="117"/>
      <c r="V38" s="118" t="s">
        <v>77</v>
      </c>
      <c r="W38" s="118"/>
      <c r="X38" s="118"/>
      <c r="Y38" s="119" t="s">
        <v>78</v>
      </c>
      <c r="Z38" s="111" t="n">
        <f aca="false">Z10</f>
        <v>300</v>
      </c>
      <c r="AA38" s="111"/>
    </row>
    <row r="39" customFormat="false" ht="9" hidden="false" customHeight="true" outlineLevel="0" collapsed="false">
      <c r="B39" s="120" t="s">
        <v>79</v>
      </c>
      <c r="C39" s="120"/>
      <c r="D39" s="120"/>
      <c r="E39" s="120"/>
      <c r="F39" s="120"/>
      <c r="G39" s="120" t="s">
        <v>55</v>
      </c>
      <c r="H39" s="120"/>
      <c r="I39" s="120" t="s">
        <v>80</v>
      </c>
      <c r="J39" s="120"/>
      <c r="K39" s="120"/>
      <c r="L39" s="120"/>
      <c r="M39" s="120"/>
      <c r="N39" s="121" t="s">
        <v>81</v>
      </c>
      <c r="O39" s="121"/>
      <c r="P39" s="116"/>
      <c r="Q39" s="116"/>
      <c r="R39" s="116"/>
      <c r="S39" s="117"/>
      <c r="T39" s="117"/>
      <c r="U39" s="117"/>
      <c r="V39" s="122" t="s">
        <v>31</v>
      </c>
      <c r="W39" s="122"/>
      <c r="X39" s="122"/>
      <c r="Y39" s="122"/>
      <c r="Z39" s="106" t="n">
        <f aca="false">Z11</f>
        <v>1</v>
      </c>
      <c r="AA39" s="106"/>
    </row>
    <row r="40" customFormat="false" ht="9" hidden="false" customHeight="true" outlineLevel="0" collapsed="false">
      <c r="B40" s="123" t="s">
        <v>82</v>
      </c>
      <c r="C40" s="123"/>
      <c r="D40" s="123"/>
      <c r="E40" s="123"/>
      <c r="F40" s="123"/>
      <c r="G40" s="123" t="s">
        <v>60</v>
      </c>
      <c r="H40" s="123"/>
      <c r="I40" s="123" t="s">
        <v>83</v>
      </c>
      <c r="J40" s="123"/>
      <c r="K40" s="123"/>
      <c r="L40" s="123"/>
      <c r="M40" s="123"/>
      <c r="N40" s="124" t="s">
        <v>84</v>
      </c>
      <c r="O40" s="124"/>
      <c r="P40" s="125" t="s">
        <v>85</v>
      </c>
      <c r="Q40" s="125"/>
      <c r="R40" s="125"/>
      <c r="S40" s="126" t="n">
        <f aca="false">S12</f>
        <v>0.0333</v>
      </c>
      <c r="T40" s="126"/>
      <c r="U40" s="126"/>
      <c r="V40" s="127" t="s">
        <v>86</v>
      </c>
      <c r="W40" s="127"/>
      <c r="X40" s="127"/>
      <c r="Y40" s="127"/>
      <c r="Z40" s="106"/>
      <c r="AA40" s="106"/>
    </row>
    <row r="41" customFormat="false" ht="9" hidden="false" customHeight="true" outlineLevel="0" collapsed="false">
      <c r="B41" s="128" t="str">
        <f aca="false">B13</f>
        <v>SAVONCHUK NADIIA</v>
      </c>
      <c r="C41" s="128"/>
      <c r="D41" s="128"/>
      <c r="E41" s="128"/>
      <c r="F41" s="128"/>
      <c r="G41" s="129" t="str">
        <f aca="false">G13</f>
        <v>FJ428913</v>
      </c>
      <c r="H41" s="129"/>
      <c r="I41" s="130" t="str">
        <f aca="false">I13</f>
        <v>Ukraine, m.Kyiv, vul. Uritskogo, 11/89</v>
      </c>
      <c r="J41" s="130"/>
      <c r="K41" s="130"/>
      <c r="L41" s="130"/>
      <c r="M41" s="130"/>
      <c r="N41" s="113" t="n">
        <f aca="false">N13</f>
        <v>27251</v>
      </c>
      <c r="O41" s="113"/>
      <c r="P41" s="131" t="s">
        <v>87</v>
      </c>
      <c r="Q41" s="131"/>
      <c r="R41" s="131"/>
      <c r="S41" s="132" t="str">
        <f aca="false">S13</f>
        <v>А</v>
      </c>
      <c r="T41" s="133" t="s">
        <v>89</v>
      </c>
      <c r="U41" s="133"/>
      <c r="V41" s="134" t="s">
        <v>90</v>
      </c>
      <c r="W41" s="134"/>
      <c r="X41" s="134"/>
      <c r="Y41" s="110" t="s">
        <v>69</v>
      </c>
      <c r="Z41" s="111" t="n">
        <f aca="false">Z13</f>
        <v>300</v>
      </c>
      <c r="AA41" s="111"/>
    </row>
    <row r="42" customFormat="false" ht="9" hidden="false" customHeight="true" outlineLevel="0" collapsed="false">
      <c r="B42" s="106" t="n">
        <f aca="false">B14</f>
        <v>0</v>
      </c>
      <c r="C42" s="106"/>
      <c r="D42" s="106"/>
      <c r="E42" s="106"/>
      <c r="F42" s="106"/>
      <c r="G42" s="106" t="n">
        <f aca="false">G14</f>
        <v>0</v>
      </c>
      <c r="H42" s="106"/>
      <c r="I42" s="135" t="n">
        <f aca="false">I14</f>
        <v>0</v>
      </c>
      <c r="J42" s="135"/>
      <c r="K42" s="135"/>
      <c r="L42" s="135"/>
      <c r="M42" s="135"/>
      <c r="N42" s="113" t="n">
        <f aca="false">N14</f>
        <v>0</v>
      </c>
      <c r="O42" s="113"/>
      <c r="P42" s="131"/>
      <c r="Q42" s="131"/>
      <c r="R42" s="131"/>
      <c r="S42" s="132"/>
      <c r="T42" s="136" t="s">
        <v>91</v>
      </c>
      <c r="U42" s="136"/>
      <c r="V42" s="134"/>
      <c r="W42" s="134"/>
      <c r="X42" s="134"/>
      <c r="Y42" s="115" t="s">
        <v>72</v>
      </c>
      <c r="Z42" s="111" t="s">
        <v>73</v>
      </c>
      <c r="AA42" s="111"/>
    </row>
    <row r="43" customFormat="false" ht="9" hidden="false" customHeight="true" outlineLevel="0" collapsed="false">
      <c r="B43" s="106" t="n">
        <f aca="false">B15</f>
        <v>0</v>
      </c>
      <c r="C43" s="106"/>
      <c r="D43" s="106"/>
      <c r="E43" s="106"/>
      <c r="F43" s="106"/>
      <c r="G43" s="106" t="n">
        <f aca="false">G15</f>
        <v>0</v>
      </c>
      <c r="H43" s="106"/>
      <c r="I43" s="135" t="n">
        <f aca="false">I15</f>
        <v>0</v>
      </c>
      <c r="J43" s="135"/>
      <c r="K43" s="135"/>
      <c r="L43" s="135"/>
      <c r="M43" s="135"/>
      <c r="N43" s="113" t="n">
        <f aca="false">N15</f>
        <v>0</v>
      </c>
      <c r="O43" s="113"/>
      <c r="P43" s="131"/>
      <c r="Q43" s="131"/>
      <c r="R43" s="131"/>
      <c r="S43" s="132"/>
      <c r="T43" s="137" t="str">
        <f aca="false">T15</f>
        <v>W</v>
      </c>
      <c r="U43" s="137"/>
      <c r="V43" s="134"/>
      <c r="W43" s="134"/>
      <c r="X43" s="134"/>
      <c r="Y43" s="119" t="s">
        <v>78</v>
      </c>
      <c r="Z43" s="111" t="n">
        <f aca="false">Z15</f>
        <v>300</v>
      </c>
      <c r="AA43" s="111"/>
    </row>
    <row r="44" customFormat="false" ht="9" hidden="false" customHeight="true" outlineLevel="0" collapsed="false">
      <c r="B44" s="138" t="s">
        <v>93</v>
      </c>
      <c r="C44" s="138"/>
      <c r="D44" s="138"/>
      <c r="E44" s="138"/>
      <c r="F44" s="138"/>
      <c r="G44" s="138"/>
      <c r="H44" s="138"/>
      <c r="I44" s="138"/>
      <c r="J44" s="138"/>
      <c r="K44" s="138"/>
      <c r="L44" s="138"/>
      <c r="M44" s="138"/>
      <c r="N44" s="138"/>
      <c r="O44" s="138"/>
      <c r="P44" s="131" t="s">
        <v>94</v>
      </c>
      <c r="Q44" s="131"/>
      <c r="R44" s="131"/>
      <c r="S44" s="131"/>
      <c r="T44" s="139" t="n">
        <f aca="false">T16</f>
        <v>44449</v>
      </c>
      <c r="U44" s="139"/>
      <c r="V44" s="140" t="s">
        <v>95</v>
      </c>
      <c r="W44" s="140"/>
      <c r="X44" s="140"/>
      <c r="Y44" s="140"/>
      <c r="Z44" s="141" t="str">
        <f aca="false">Z16</f>
        <v>0</v>
      </c>
      <c r="AA44" s="142" t="s">
        <v>96</v>
      </c>
    </row>
    <row r="45" customFormat="false" ht="9" hidden="false" customHeight="true" outlineLevel="0" collapsed="false">
      <c r="B45" s="143" t="str">
        <f aca="false">B17</f>
        <v>SAVONCHUK NADIIA</v>
      </c>
      <c r="C45" s="143"/>
      <c r="D45" s="143"/>
      <c r="E45" s="143"/>
      <c r="F45" s="143"/>
      <c r="G45" s="137" t="str">
        <f aca="false">G17</f>
        <v>FJ428913</v>
      </c>
      <c r="H45" s="137"/>
      <c r="I45" s="130" t="str">
        <f aca="false">I17</f>
        <v>Ukraine, m.Kyiv, vul. Uritskogo, 11/89</v>
      </c>
      <c r="J45" s="130"/>
      <c r="K45" s="130"/>
      <c r="L45" s="130"/>
      <c r="M45" s="130"/>
      <c r="N45" s="144" t="n">
        <f aca="false">N17</f>
        <v>27251</v>
      </c>
      <c r="O45" s="144"/>
      <c r="P45" s="131"/>
      <c r="Q45" s="131"/>
      <c r="R45" s="131"/>
      <c r="S45" s="131"/>
      <c r="T45" s="139"/>
      <c r="U45" s="139"/>
      <c r="V45" s="145" t="s">
        <v>97</v>
      </c>
      <c r="W45" s="145"/>
      <c r="X45" s="145"/>
      <c r="Y45" s="145"/>
      <c r="Z45" s="141"/>
      <c r="AA45" s="142"/>
    </row>
    <row r="46" customFormat="false" ht="9" hidden="false" customHeight="true" outlineLevel="0" collapsed="false">
      <c r="B46" s="146" t="s">
        <v>98</v>
      </c>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row>
    <row r="47" customFormat="false" ht="8.25" hidden="false" customHeight="false" outlineLevel="0" collapsed="false">
      <c r="B47" s="147" t="s">
        <v>99</v>
      </c>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row r="48" customFormat="false" ht="7.5" hidden="false" customHeight="true" outlineLevel="0" collapsed="false">
      <c r="B48" s="148" t="s">
        <v>100</v>
      </c>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row>
    <row r="49" customFormat="false" ht="7.5" hidden="false" customHeight="true" outlineLevel="0" collapsed="false">
      <c r="B49" s="149" t="s">
        <v>101</v>
      </c>
      <c r="C49" s="149"/>
      <c r="D49" s="149"/>
      <c r="E49" s="149"/>
      <c r="F49" s="149"/>
      <c r="G49" s="149"/>
      <c r="H49" s="149"/>
      <c r="I49" s="149"/>
      <c r="J49" s="149"/>
      <c r="K49" s="149"/>
      <c r="L49" s="149"/>
      <c r="M49" s="149"/>
      <c r="N49" s="149"/>
      <c r="O49" s="149"/>
      <c r="P49" s="149"/>
      <c r="Q49" s="149"/>
      <c r="R49" s="149"/>
      <c r="S49" s="149"/>
      <c r="T49" s="149"/>
      <c r="U49" s="149"/>
      <c r="V49" s="150" t="s">
        <v>102</v>
      </c>
      <c r="W49" s="150"/>
      <c r="X49" s="150"/>
      <c r="Y49" s="150"/>
      <c r="Z49" s="150"/>
      <c r="AA49" s="150"/>
    </row>
    <row r="50" customFormat="false" ht="7.5" hidden="false" customHeight="true" outlineLevel="0" collapsed="false">
      <c r="B50" s="149"/>
      <c r="C50" s="149"/>
      <c r="D50" s="149"/>
      <c r="E50" s="149"/>
      <c r="F50" s="149"/>
      <c r="G50" s="149"/>
      <c r="H50" s="149"/>
      <c r="I50" s="149"/>
      <c r="J50" s="149"/>
      <c r="K50" s="149"/>
      <c r="L50" s="149"/>
      <c r="M50" s="149"/>
      <c r="N50" s="149"/>
      <c r="O50" s="149"/>
      <c r="P50" s="149"/>
      <c r="Q50" s="149"/>
      <c r="R50" s="149"/>
      <c r="S50" s="149"/>
      <c r="T50" s="149"/>
      <c r="U50" s="149"/>
      <c r="V50" s="150"/>
      <c r="W50" s="150"/>
      <c r="X50" s="150"/>
      <c r="Y50" s="150"/>
      <c r="Z50" s="150"/>
      <c r="AA50" s="150"/>
    </row>
    <row r="51" customFormat="false" ht="7.5" hidden="false" customHeight="true" outlineLevel="0" collapsed="false">
      <c r="B51" s="149"/>
      <c r="C51" s="149"/>
      <c r="D51" s="149"/>
      <c r="E51" s="149"/>
      <c r="F51" s="149"/>
      <c r="G51" s="149"/>
      <c r="H51" s="149"/>
      <c r="I51" s="149"/>
      <c r="J51" s="149"/>
      <c r="K51" s="149"/>
      <c r="L51" s="149"/>
      <c r="M51" s="149"/>
      <c r="N51" s="149"/>
      <c r="O51" s="149"/>
      <c r="P51" s="149"/>
      <c r="Q51" s="149"/>
      <c r="R51" s="149"/>
      <c r="S51" s="149"/>
      <c r="T51" s="149"/>
      <c r="U51" s="149"/>
      <c r="V51" s="150"/>
      <c r="W51" s="150"/>
      <c r="X51" s="150"/>
      <c r="Y51" s="150"/>
      <c r="Z51" s="150"/>
      <c r="AA51" s="150"/>
    </row>
    <row r="52" customFormat="false" ht="17.25" hidden="false" customHeight="true" outlineLevel="0" collapsed="false">
      <c r="B52" s="151" t="s">
        <v>103</v>
      </c>
      <c r="C52" s="151"/>
      <c r="D52" s="151"/>
      <c r="E52" s="151"/>
      <c r="F52" s="151"/>
      <c r="G52" s="151"/>
      <c r="H52" s="151"/>
      <c r="I52" s="151"/>
      <c r="J52" s="151"/>
      <c r="K52" s="151"/>
      <c r="L52" s="151"/>
      <c r="M52" s="151"/>
      <c r="N52" s="151"/>
      <c r="O52" s="151"/>
      <c r="P52" s="151"/>
      <c r="Q52" s="151"/>
      <c r="R52" s="151"/>
      <c r="S52" s="151"/>
      <c r="T52" s="151"/>
      <c r="U52" s="151"/>
      <c r="V52" s="150"/>
      <c r="W52" s="150"/>
      <c r="X52" s="150"/>
      <c r="Y52" s="150"/>
      <c r="Z52" s="150"/>
      <c r="AA52" s="150"/>
    </row>
    <row r="53" customFormat="false" ht="9.75" hidden="false" customHeight="true" outlineLevel="0" collapsed="false">
      <c r="B53" s="152" t="s">
        <v>104</v>
      </c>
      <c r="C53" s="152"/>
      <c r="D53" s="152"/>
      <c r="E53" s="152"/>
      <c r="F53" s="152"/>
      <c r="G53" s="152"/>
      <c r="H53" s="152"/>
      <c r="I53" s="153" t="s">
        <v>105</v>
      </c>
      <c r="J53" s="153"/>
      <c r="K53" s="153"/>
      <c r="L53" s="153"/>
      <c r="M53" s="153"/>
      <c r="N53" s="153"/>
      <c r="O53" s="154" t="s">
        <v>106</v>
      </c>
      <c r="P53" s="154"/>
      <c r="Q53" s="154"/>
      <c r="R53" s="154"/>
      <c r="S53" s="154"/>
      <c r="T53" s="154"/>
      <c r="U53" s="154"/>
      <c r="V53" s="155" t="s">
        <v>107</v>
      </c>
      <c r="W53" s="155"/>
      <c r="X53" s="155"/>
      <c r="Y53" s="155"/>
      <c r="Z53" s="155"/>
      <c r="AA53" s="155"/>
    </row>
    <row r="54" customFormat="false" ht="9" hidden="false" customHeight="true" outlineLevel="0" collapsed="false">
      <c r="B54" s="156" t="s">
        <v>108</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c r="AA54" s="156"/>
    </row>
    <row r="55" customFormat="false" ht="9" hidden="false" customHeight="true" outlineLevel="0" collapsed="false">
      <c r="B55" s="157" t="s">
        <v>109</v>
      </c>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row>
    <row r="56" customFormat="false" ht="9" hidden="false" customHeight="true" outlineLevel="0" collapsed="false">
      <c r="B56" s="158" t="s">
        <v>110</v>
      </c>
      <c r="C56" s="158"/>
      <c r="D56" s="158"/>
      <c r="E56" s="158"/>
      <c r="F56" s="158"/>
      <c r="G56" s="158"/>
      <c r="H56" s="158"/>
      <c r="I56" s="158"/>
      <c r="J56" s="158"/>
      <c r="K56" s="158"/>
      <c r="L56" s="158"/>
      <c r="M56" s="158"/>
      <c r="N56" s="158"/>
      <c r="O56" s="158"/>
      <c r="P56" s="158"/>
      <c r="Q56" s="158"/>
      <c r="R56" s="158"/>
      <c r="S56" s="158"/>
      <c r="T56" s="158"/>
      <c r="U56" s="158"/>
      <c r="V56" s="158"/>
      <c r="W56" s="158"/>
      <c r="X56" s="158"/>
      <c r="Y56" s="158"/>
      <c r="Z56" s="158"/>
      <c r="AA56" s="158"/>
    </row>
    <row r="57" s="80" customFormat="true" ht="69.95" hidden="false" customHeight="true" outlineLevel="0" collapsed="false">
      <c r="B57" s="159" t="s">
        <v>111</v>
      </c>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row>
    <row r="58" s="80" customFormat="true" ht="9.95" hidden="false" customHeight="true" outlineLevel="0" collapsed="false">
      <c r="B58" s="160" t="s">
        <v>42</v>
      </c>
      <c r="C58" s="160"/>
      <c r="D58" s="160"/>
      <c r="E58" s="160"/>
      <c r="F58" s="160"/>
      <c r="G58" s="160"/>
      <c r="H58" s="160"/>
      <c r="I58" s="160"/>
      <c r="J58" s="160"/>
      <c r="K58" s="160"/>
      <c r="L58" s="160"/>
      <c r="M58" s="160"/>
      <c r="N58" s="160"/>
      <c r="O58" s="160"/>
      <c r="P58" s="160"/>
      <c r="Q58" s="160"/>
      <c r="R58" s="160"/>
      <c r="S58" s="160"/>
      <c r="T58" s="160"/>
      <c r="U58" s="160"/>
      <c r="V58" s="160"/>
      <c r="W58" s="160"/>
      <c r="X58" s="160"/>
      <c r="Y58" s="160"/>
      <c r="Z58" s="160"/>
      <c r="AA58" s="160"/>
    </row>
    <row r="59" customFormat="false" ht="9" hidden="false" customHeight="true" outlineLevel="0" collapsed="false">
      <c r="B59" s="82" t="s">
        <v>43</v>
      </c>
      <c r="C59" s="82"/>
      <c r="D59" s="82"/>
      <c r="E59" s="82"/>
      <c r="F59" s="82"/>
      <c r="G59" s="82"/>
      <c r="H59" s="82"/>
      <c r="I59" s="82"/>
      <c r="J59" s="82"/>
      <c r="K59" s="82"/>
      <c r="L59" s="82"/>
      <c r="M59" s="82"/>
      <c r="N59" s="82"/>
      <c r="O59" s="82"/>
      <c r="P59" s="83" t="s">
        <v>44</v>
      </c>
      <c r="Q59" s="83"/>
      <c r="R59" s="83" t="s">
        <v>45</v>
      </c>
      <c r="S59" s="83"/>
      <c r="T59" s="84" t="n">
        <f aca="false">T31</f>
        <v>21</v>
      </c>
      <c r="U59" s="84" t="n">
        <f aca="false">U31</f>
        <v>2</v>
      </c>
      <c r="V59" s="85" t="n">
        <f aca="false">V31</f>
        <v>2021</v>
      </c>
      <c r="W59" s="83" t="s">
        <v>46</v>
      </c>
      <c r="X59" s="83"/>
      <c r="Y59" s="84" t="n">
        <f aca="false">Y31</f>
        <v>20</v>
      </c>
      <c r="Z59" s="84" t="n">
        <f aca="false">Z31</f>
        <v>2</v>
      </c>
      <c r="AA59" s="85" t="n">
        <f aca="false">AA31</f>
        <v>2022</v>
      </c>
    </row>
    <row r="60" customFormat="false" ht="7.5" hidden="false" customHeight="true" outlineLevel="0" collapsed="false">
      <c r="B60" s="86" t="s">
        <v>47</v>
      </c>
      <c r="C60" s="86"/>
      <c r="D60" s="86"/>
      <c r="E60" s="86"/>
      <c r="F60" s="87" t="str">
        <f aca="false">F32</f>
        <v>SAVONCHUK NADIIA</v>
      </c>
      <c r="G60" s="87"/>
      <c r="H60" s="87"/>
      <c r="I60" s="87"/>
      <c r="J60" s="87"/>
      <c r="K60" s="88" t="s">
        <v>48</v>
      </c>
      <c r="L60" s="88"/>
      <c r="M60" s="88"/>
      <c r="N60" s="88"/>
      <c r="O60" s="88"/>
      <c r="P60" s="83"/>
      <c r="Q60" s="83"/>
      <c r="R60" s="83"/>
      <c r="S60" s="83"/>
      <c r="T60" s="89" t="s">
        <v>6</v>
      </c>
      <c r="U60" s="89" t="s">
        <v>7</v>
      </c>
      <c r="V60" s="90" t="s">
        <v>8</v>
      </c>
      <c r="W60" s="83"/>
      <c r="X60" s="83"/>
      <c r="Y60" s="89" t="s">
        <v>6</v>
      </c>
      <c r="Z60" s="89" t="s">
        <v>7</v>
      </c>
      <c r="AA60" s="90" t="s">
        <v>8</v>
      </c>
    </row>
    <row r="61" customFormat="false" ht="10.5" hidden="false" customHeight="true" outlineLevel="0" collapsed="false">
      <c r="B61" s="91" t="s">
        <v>49</v>
      </c>
      <c r="C61" s="91"/>
      <c r="D61" s="91"/>
      <c r="E61" s="91"/>
      <c r="F61" s="87"/>
      <c r="G61" s="87"/>
      <c r="H61" s="87"/>
      <c r="I61" s="87"/>
      <c r="J61" s="87"/>
      <c r="K61" s="92" t="s">
        <v>50</v>
      </c>
      <c r="L61" s="92"/>
      <c r="M61" s="92"/>
      <c r="N61" s="92"/>
      <c r="O61" s="93" t="s">
        <v>51</v>
      </c>
      <c r="P61" s="94" t="n">
        <f aca="false">P5</f>
        <v>30</v>
      </c>
      <c r="Q61" s="94"/>
      <c r="R61" s="83"/>
      <c r="S61" s="83"/>
      <c r="T61" s="95" t="s">
        <v>52</v>
      </c>
      <c r="U61" s="95" t="s">
        <v>53</v>
      </c>
      <c r="V61" s="96" t="s">
        <v>54</v>
      </c>
      <c r="W61" s="83"/>
      <c r="X61" s="83"/>
      <c r="Y61" s="95" t="s">
        <v>52</v>
      </c>
      <c r="Z61" s="95" t="s">
        <v>53</v>
      </c>
      <c r="AA61" s="96" t="s">
        <v>54</v>
      </c>
    </row>
    <row r="62" customFormat="false" ht="8.25" hidden="false" customHeight="true" outlineLevel="0" collapsed="false">
      <c r="B62" s="97" t="s">
        <v>55</v>
      </c>
      <c r="C62" s="97"/>
      <c r="D62" s="98" t="str">
        <f aca="false">D34</f>
        <v>FJ428913</v>
      </c>
      <c r="E62" s="98"/>
      <c r="F62" s="98"/>
      <c r="G62" s="99" t="s">
        <v>56</v>
      </c>
      <c r="H62" s="99"/>
      <c r="I62" s="99"/>
      <c r="J62" s="100" t="n">
        <f aca="false">J34</f>
        <v>27251</v>
      </c>
      <c r="K62" s="100"/>
      <c r="L62" s="99" t="s">
        <v>57</v>
      </c>
      <c r="M62" s="99"/>
      <c r="N62" s="101" t="n">
        <f aca="false">N34</f>
        <v>0</v>
      </c>
      <c r="O62" s="101"/>
      <c r="P62" s="102" t="s">
        <v>58</v>
      </c>
      <c r="Q62" s="102"/>
      <c r="R62" s="102"/>
      <c r="S62" s="102"/>
      <c r="T62" s="102"/>
      <c r="U62" s="102"/>
      <c r="V62" s="103" t="s">
        <v>59</v>
      </c>
      <c r="W62" s="103"/>
      <c r="X62" s="103"/>
      <c r="Y62" s="103"/>
      <c r="Z62" s="103"/>
      <c r="AA62" s="103"/>
    </row>
    <row r="63" customFormat="false" ht="8.25" hidden="false" customHeight="true" outlineLevel="0" collapsed="false">
      <c r="B63" s="104" t="s">
        <v>60</v>
      </c>
      <c r="C63" s="104"/>
      <c r="D63" s="98"/>
      <c r="E63" s="98"/>
      <c r="F63" s="98"/>
      <c r="G63" s="99" t="s">
        <v>61</v>
      </c>
      <c r="H63" s="99"/>
      <c r="I63" s="99"/>
      <c r="J63" s="100"/>
      <c r="K63" s="100"/>
      <c r="L63" s="99" t="s">
        <v>62</v>
      </c>
      <c r="M63" s="99"/>
      <c r="N63" s="101"/>
      <c r="O63" s="101"/>
      <c r="P63" s="102" t="s">
        <v>63</v>
      </c>
      <c r="Q63" s="102"/>
      <c r="R63" s="102"/>
      <c r="S63" s="102"/>
      <c r="T63" s="102"/>
      <c r="U63" s="102"/>
      <c r="V63" s="103" t="s">
        <v>64</v>
      </c>
      <c r="W63" s="103"/>
      <c r="X63" s="103"/>
      <c r="Y63" s="103"/>
      <c r="Z63" s="103"/>
      <c r="AA63" s="103"/>
    </row>
    <row r="64" customFormat="false" ht="9" hidden="false" customHeight="true" outlineLevel="0" collapsed="false">
      <c r="B64" s="105" t="s">
        <v>65</v>
      </c>
      <c r="C64" s="105"/>
      <c r="D64" s="105"/>
      <c r="E64" s="105"/>
      <c r="F64" s="106" t="str">
        <f aca="false">F36</f>
        <v>Ukraine, m.Kyiv, vul. Uritskogo, 11/89</v>
      </c>
      <c r="G64" s="106"/>
      <c r="H64" s="106"/>
      <c r="I64" s="106"/>
      <c r="J64" s="106"/>
      <c r="K64" s="106"/>
      <c r="L64" s="106"/>
      <c r="M64" s="106"/>
      <c r="N64" s="106"/>
      <c r="O64" s="106"/>
      <c r="P64" s="107" t="s">
        <v>66</v>
      </c>
      <c r="Q64" s="107"/>
      <c r="R64" s="107"/>
      <c r="S64" s="108" t="s">
        <v>67</v>
      </c>
      <c r="T64" s="108"/>
      <c r="U64" s="108"/>
      <c r="V64" s="109" t="s">
        <v>68</v>
      </c>
      <c r="W64" s="109"/>
      <c r="X64" s="109"/>
      <c r="Y64" s="110" t="s">
        <v>69</v>
      </c>
      <c r="Z64" s="111" t="n">
        <f aca="false">Z36</f>
        <v>300</v>
      </c>
      <c r="AA64" s="111"/>
    </row>
    <row r="65" customFormat="false" ht="9" hidden="false" customHeight="true" outlineLevel="0" collapsed="false">
      <c r="B65" s="112" t="s">
        <v>37</v>
      </c>
      <c r="C65" s="112"/>
      <c r="D65" s="112"/>
      <c r="E65" s="112"/>
      <c r="F65" s="112"/>
      <c r="G65" s="112"/>
      <c r="H65" s="112"/>
      <c r="I65" s="112"/>
      <c r="J65" s="112"/>
      <c r="K65" s="106" t="str">
        <f aca="false">K37</f>
        <v>Європа/Europe</v>
      </c>
      <c r="L65" s="106"/>
      <c r="M65" s="106"/>
      <c r="N65" s="106"/>
      <c r="O65" s="106"/>
      <c r="P65" s="114" t="s">
        <v>70</v>
      </c>
      <c r="Q65" s="114"/>
      <c r="R65" s="114"/>
      <c r="S65" s="114" t="s">
        <v>71</v>
      </c>
      <c r="T65" s="114"/>
      <c r="U65" s="114"/>
      <c r="V65" s="109"/>
      <c r="W65" s="109"/>
      <c r="X65" s="109"/>
      <c r="Y65" s="115" t="s">
        <v>72</v>
      </c>
      <c r="Z65" s="111" t="s">
        <v>73</v>
      </c>
      <c r="AA65" s="111"/>
    </row>
    <row r="66" customFormat="false" ht="9" hidden="false" customHeight="true" outlineLevel="0" collapsed="false">
      <c r="B66" s="82" t="s">
        <v>74</v>
      </c>
      <c r="C66" s="82"/>
      <c r="D66" s="82"/>
      <c r="E66" s="82"/>
      <c r="F66" s="82"/>
      <c r="G66" s="82"/>
      <c r="H66" s="82"/>
      <c r="I66" s="82"/>
      <c r="J66" s="82"/>
      <c r="K66" s="82"/>
      <c r="L66" s="82"/>
      <c r="M66" s="82"/>
      <c r="N66" s="82"/>
      <c r="O66" s="82"/>
      <c r="P66" s="116" t="str">
        <f aca="false">P10</f>
        <v>30 000,00 EUR</v>
      </c>
      <c r="Q66" s="116"/>
      <c r="R66" s="116"/>
      <c r="S66" s="117" t="s">
        <v>76</v>
      </c>
      <c r="T66" s="117"/>
      <c r="U66" s="117"/>
      <c r="V66" s="118" t="s">
        <v>77</v>
      </c>
      <c r="W66" s="118"/>
      <c r="X66" s="118"/>
      <c r="Y66" s="119" t="s">
        <v>78</v>
      </c>
      <c r="Z66" s="111" t="n">
        <f aca="false">Z38</f>
        <v>300</v>
      </c>
      <c r="AA66" s="111"/>
    </row>
    <row r="67" customFormat="false" ht="9" hidden="false" customHeight="true" outlineLevel="0" collapsed="false">
      <c r="B67" s="120" t="s">
        <v>79</v>
      </c>
      <c r="C67" s="120"/>
      <c r="D67" s="120"/>
      <c r="E67" s="120"/>
      <c r="F67" s="120"/>
      <c r="G67" s="120" t="s">
        <v>55</v>
      </c>
      <c r="H67" s="120"/>
      <c r="I67" s="120" t="s">
        <v>80</v>
      </c>
      <c r="J67" s="120"/>
      <c r="K67" s="120"/>
      <c r="L67" s="120"/>
      <c r="M67" s="120"/>
      <c r="N67" s="121" t="s">
        <v>81</v>
      </c>
      <c r="O67" s="121"/>
      <c r="P67" s="116"/>
      <c r="Q67" s="116"/>
      <c r="R67" s="116"/>
      <c r="S67" s="117"/>
      <c r="T67" s="117"/>
      <c r="U67" s="117"/>
      <c r="V67" s="122" t="s">
        <v>31</v>
      </c>
      <c r="W67" s="122"/>
      <c r="X67" s="122"/>
      <c r="Y67" s="122"/>
      <c r="Z67" s="106" t="n">
        <f aca="false">Z39</f>
        <v>1</v>
      </c>
      <c r="AA67" s="106"/>
    </row>
    <row r="68" customFormat="false" ht="9" hidden="false" customHeight="true" outlineLevel="0" collapsed="false">
      <c r="B68" s="123" t="s">
        <v>82</v>
      </c>
      <c r="C68" s="123"/>
      <c r="D68" s="123"/>
      <c r="E68" s="123"/>
      <c r="F68" s="123"/>
      <c r="G68" s="123" t="s">
        <v>60</v>
      </c>
      <c r="H68" s="123"/>
      <c r="I68" s="123" t="s">
        <v>83</v>
      </c>
      <c r="J68" s="123"/>
      <c r="K68" s="123"/>
      <c r="L68" s="123"/>
      <c r="M68" s="123"/>
      <c r="N68" s="124" t="s">
        <v>84</v>
      </c>
      <c r="O68" s="124"/>
      <c r="P68" s="125" t="s">
        <v>85</v>
      </c>
      <c r="Q68" s="125"/>
      <c r="R68" s="125"/>
      <c r="S68" s="126" t="n">
        <f aca="false">S40</f>
        <v>0.0333</v>
      </c>
      <c r="T68" s="126"/>
      <c r="U68" s="126"/>
      <c r="V68" s="127" t="s">
        <v>86</v>
      </c>
      <c r="W68" s="127"/>
      <c r="X68" s="127"/>
      <c r="Y68" s="127"/>
      <c r="Z68" s="106"/>
      <c r="AA68" s="106"/>
    </row>
    <row r="69" customFormat="false" ht="9" hidden="false" customHeight="true" outlineLevel="0" collapsed="false">
      <c r="B69" s="128" t="str">
        <f aca="false">B41</f>
        <v>SAVONCHUK NADIIA</v>
      </c>
      <c r="C69" s="128"/>
      <c r="D69" s="128"/>
      <c r="E69" s="128"/>
      <c r="F69" s="128"/>
      <c r="G69" s="129" t="str">
        <f aca="false">G41</f>
        <v>FJ428913</v>
      </c>
      <c r="H69" s="129"/>
      <c r="I69" s="130" t="str">
        <f aca="false">I41</f>
        <v>Ukraine, m.Kyiv, vul. Uritskogo, 11/89</v>
      </c>
      <c r="J69" s="130"/>
      <c r="K69" s="130"/>
      <c r="L69" s="130"/>
      <c r="M69" s="130"/>
      <c r="N69" s="113" t="n">
        <f aca="false">N41</f>
        <v>27251</v>
      </c>
      <c r="O69" s="113"/>
      <c r="P69" s="131" t="s">
        <v>87</v>
      </c>
      <c r="Q69" s="131"/>
      <c r="R69" s="131"/>
      <c r="S69" s="132" t="str">
        <f aca="false">S13</f>
        <v>А</v>
      </c>
      <c r="T69" s="133" t="s">
        <v>89</v>
      </c>
      <c r="U69" s="133"/>
      <c r="V69" s="134" t="s">
        <v>90</v>
      </c>
      <c r="W69" s="134"/>
      <c r="X69" s="134"/>
      <c r="Y69" s="110" t="s">
        <v>69</v>
      </c>
      <c r="Z69" s="111" t="n">
        <f aca="false">Z41</f>
        <v>300</v>
      </c>
      <c r="AA69" s="111"/>
    </row>
    <row r="70" customFormat="false" ht="9" hidden="false" customHeight="true" outlineLevel="0" collapsed="false">
      <c r="B70" s="106" t="n">
        <f aca="false">B42</f>
        <v>0</v>
      </c>
      <c r="C70" s="106"/>
      <c r="D70" s="106"/>
      <c r="E70" s="106"/>
      <c r="F70" s="106"/>
      <c r="G70" s="106" t="n">
        <f aca="false">G42</f>
        <v>0</v>
      </c>
      <c r="H70" s="106"/>
      <c r="I70" s="161" t="n">
        <f aca="false">I42</f>
        <v>0</v>
      </c>
      <c r="J70" s="161"/>
      <c r="K70" s="161"/>
      <c r="L70" s="161"/>
      <c r="M70" s="161"/>
      <c r="N70" s="113" t="n">
        <f aca="false">N42</f>
        <v>0</v>
      </c>
      <c r="O70" s="113"/>
      <c r="P70" s="131"/>
      <c r="Q70" s="131"/>
      <c r="R70" s="131"/>
      <c r="S70" s="132"/>
      <c r="T70" s="136" t="s">
        <v>91</v>
      </c>
      <c r="U70" s="136"/>
      <c r="V70" s="134"/>
      <c r="W70" s="134"/>
      <c r="X70" s="134"/>
      <c r="Y70" s="115" t="s">
        <v>72</v>
      </c>
      <c r="Z70" s="111" t="s">
        <v>73</v>
      </c>
      <c r="AA70" s="111"/>
    </row>
    <row r="71" customFormat="false" ht="9" hidden="false" customHeight="true" outlineLevel="0" collapsed="false">
      <c r="B71" s="106" t="n">
        <f aca="false">B43</f>
        <v>0</v>
      </c>
      <c r="C71" s="106"/>
      <c r="D71" s="106"/>
      <c r="E71" s="106"/>
      <c r="F71" s="106"/>
      <c r="G71" s="106" t="n">
        <f aca="false">G43</f>
        <v>0</v>
      </c>
      <c r="H71" s="106"/>
      <c r="I71" s="161" t="n">
        <f aca="false">I43</f>
        <v>0</v>
      </c>
      <c r="J71" s="161"/>
      <c r="K71" s="161"/>
      <c r="L71" s="161"/>
      <c r="M71" s="161"/>
      <c r="N71" s="113" t="n">
        <f aca="false">N43</f>
        <v>0</v>
      </c>
      <c r="O71" s="113"/>
      <c r="P71" s="131"/>
      <c r="Q71" s="131"/>
      <c r="R71" s="131"/>
      <c r="S71" s="132"/>
      <c r="T71" s="137" t="str">
        <f aca="false">T15</f>
        <v>W</v>
      </c>
      <c r="U71" s="137"/>
      <c r="V71" s="134"/>
      <c r="W71" s="134"/>
      <c r="X71" s="134"/>
      <c r="Y71" s="119" t="s">
        <v>78</v>
      </c>
      <c r="Z71" s="111" t="n">
        <f aca="false">Z43</f>
        <v>300</v>
      </c>
      <c r="AA71" s="111"/>
    </row>
    <row r="72" customFormat="false" ht="9" hidden="false" customHeight="true" outlineLevel="0" collapsed="false">
      <c r="B72" s="138" t="s">
        <v>93</v>
      </c>
      <c r="C72" s="138"/>
      <c r="D72" s="138"/>
      <c r="E72" s="138"/>
      <c r="F72" s="138"/>
      <c r="G72" s="138"/>
      <c r="H72" s="138"/>
      <c r="I72" s="138"/>
      <c r="J72" s="138"/>
      <c r="K72" s="138"/>
      <c r="L72" s="138"/>
      <c r="M72" s="138"/>
      <c r="N72" s="138"/>
      <c r="O72" s="138"/>
      <c r="P72" s="131" t="s">
        <v>94</v>
      </c>
      <c r="Q72" s="131"/>
      <c r="R72" s="131"/>
      <c r="S72" s="131"/>
      <c r="T72" s="139" t="n">
        <f aca="false">T44</f>
        <v>44449</v>
      </c>
      <c r="U72" s="139"/>
      <c r="V72" s="140" t="s">
        <v>95</v>
      </c>
      <c r="W72" s="140"/>
      <c r="X72" s="140"/>
      <c r="Y72" s="140"/>
      <c r="Z72" s="141" t="str">
        <f aca="false">Z44</f>
        <v>0</v>
      </c>
      <c r="AA72" s="142" t="s">
        <v>96</v>
      </c>
    </row>
    <row r="73" customFormat="false" ht="9" hidden="false" customHeight="true" outlineLevel="0" collapsed="false">
      <c r="B73" s="143" t="str">
        <f aca="false">B45</f>
        <v>SAVONCHUK NADIIA</v>
      </c>
      <c r="C73" s="143"/>
      <c r="D73" s="143"/>
      <c r="E73" s="143"/>
      <c r="F73" s="143"/>
      <c r="G73" s="137" t="str">
        <f aca="false">G45</f>
        <v>FJ428913</v>
      </c>
      <c r="H73" s="137"/>
      <c r="I73" s="135" t="str">
        <f aca="false">I45</f>
        <v>Ukraine, m.Kyiv, vul. Uritskogo, 11/89</v>
      </c>
      <c r="J73" s="135"/>
      <c r="K73" s="135"/>
      <c r="L73" s="135"/>
      <c r="M73" s="135"/>
      <c r="N73" s="144" t="n">
        <f aca="false">N45</f>
        <v>27251</v>
      </c>
      <c r="O73" s="144"/>
      <c r="P73" s="131"/>
      <c r="Q73" s="131"/>
      <c r="R73" s="131"/>
      <c r="S73" s="131"/>
      <c r="T73" s="139"/>
      <c r="U73" s="139"/>
      <c r="V73" s="145" t="s">
        <v>97</v>
      </c>
      <c r="W73" s="145"/>
      <c r="X73" s="145"/>
      <c r="Y73" s="145"/>
      <c r="Z73" s="141"/>
      <c r="AA73" s="142"/>
    </row>
    <row r="74" customFormat="false" ht="9" hidden="false" customHeight="true" outlineLevel="0" collapsed="false">
      <c r="B74" s="146" t="s">
        <v>98</v>
      </c>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row>
    <row r="75" customFormat="false" ht="8.25" hidden="false" customHeight="false" outlineLevel="0" collapsed="false">
      <c r="B75" s="147" t="s">
        <v>99</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row>
    <row r="76" customFormat="false" ht="7.5" hidden="false" customHeight="true" outlineLevel="0" collapsed="false">
      <c r="B76" s="148" t="s">
        <v>100</v>
      </c>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row>
    <row r="77" customFormat="false" ht="7.5" hidden="false" customHeight="true" outlineLevel="0" collapsed="false">
      <c r="B77" s="149" t="s">
        <v>101</v>
      </c>
      <c r="C77" s="149"/>
      <c r="D77" s="149"/>
      <c r="E77" s="149"/>
      <c r="F77" s="149"/>
      <c r="G77" s="149"/>
      <c r="H77" s="149"/>
      <c r="I77" s="149"/>
      <c r="J77" s="149"/>
      <c r="K77" s="149"/>
      <c r="L77" s="149"/>
      <c r="M77" s="149"/>
      <c r="N77" s="149"/>
      <c r="O77" s="149"/>
      <c r="P77" s="149"/>
      <c r="Q77" s="149"/>
      <c r="R77" s="149"/>
      <c r="S77" s="149"/>
      <c r="T77" s="149"/>
      <c r="U77" s="149"/>
      <c r="V77" s="150" t="s">
        <v>102</v>
      </c>
      <c r="W77" s="150"/>
      <c r="X77" s="150"/>
      <c r="Y77" s="150"/>
      <c r="Z77" s="150"/>
      <c r="AA77" s="150"/>
    </row>
    <row r="78" customFormat="false" ht="7.5" hidden="false" customHeight="true" outlineLevel="0" collapsed="false">
      <c r="B78" s="149"/>
      <c r="C78" s="149"/>
      <c r="D78" s="149"/>
      <c r="E78" s="149"/>
      <c r="F78" s="149"/>
      <c r="G78" s="149"/>
      <c r="H78" s="149"/>
      <c r="I78" s="149"/>
      <c r="J78" s="149"/>
      <c r="K78" s="149"/>
      <c r="L78" s="149"/>
      <c r="M78" s="149"/>
      <c r="N78" s="149"/>
      <c r="O78" s="149"/>
      <c r="P78" s="149"/>
      <c r="Q78" s="149"/>
      <c r="R78" s="149"/>
      <c r="S78" s="149"/>
      <c r="T78" s="149"/>
      <c r="U78" s="149"/>
      <c r="V78" s="150"/>
      <c r="W78" s="150"/>
      <c r="X78" s="150"/>
      <c r="Y78" s="150"/>
      <c r="Z78" s="150"/>
      <c r="AA78" s="150"/>
    </row>
    <row r="79" customFormat="false" ht="7.5" hidden="false" customHeight="true" outlineLevel="0" collapsed="false">
      <c r="B79" s="149"/>
      <c r="C79" s="149"/>
      <c r="D79" s="149"/>
      <c r="E79" s="149"/>
      <c r="F79" s="149"/>
      <c r="G79" s="149"/>
      <c r="H79" s="149"/>
      <c r="I79" s="149"/>
      <c r="J79" s="149"/>
      <c r="K79" s="149"/>
      <c r="L79" s="149"/>
      <c r="M79" s="149"/>
      <c r="N79" s="149"/>
      <c r="O79" s="149"/>
      <c r="P79" s="149"/>
      <c r="Q79" s="149"/>
      <c r="R79" s="149"/>
      <c r="S79" s="149"/>
      <c r="T79" s="149"/>
      <c r="U79" s="149"/>
      <c r="V79" s="150"/>
      <c r="W79" s="150"/>
      <c r="X79" s="150"/>
      <c r="Y79" s="150"/>
      <c r="Z79" s="150"/>
      <c r="AA79" s="150"/>
    </row>
    <row r="80" customFormat="false" ht="17.25" hidden="false" customHeight="true" outlineLevel="0" collapsed="false">
      <c r="B80" s="151" t="s">
        <v>103</v>
      </c>
      <c r="C80" s="151"/>
      <c r="D80" s="151"/>
      <c r="E80" s="151"/>
      <c r="F80" s="151"/>
      <c r="G80" s="151"/>
      <c r="H80" s="151"/>
      <c r="I80" s="151"/>
      <c r="J80" s="151"/>
      <c r="K80" s="151"/>
      <c r="L80" s="151"/>
      <c r="M80" s="151"/>
      <c r="N80" s="151"/>
      <c r="O80" s="151"/>
      <c r="P80" s="151"/>
      <c r="Q80" s="151"/>
      <c r="R80" s="151"/>
      <c r="S80" s="151"/>
      <c r="T80" s="151"/>
      <c r="U80" s="151"/>
      <c r="V80" s="150"/>
      <c r="W80" s="150"/>
      <c r="X80" s="150"/>
      <c r="Y80" s="150"/>
      <c r="Z80" s="150"/>
      <c r="AA80" s="150"/>
    </row>
    <row r="81" customFormat="false" ht="9.75" hidden="false" customHeight="true" outlineLevel="0" collapsed="false">
      <c r="B81" s="152" t="s">
        <v>104</v>
      </c>
      <c r="C81" s="152"/>
      <c r="D81" s="152"/>
      <c r="E81" s="152"/>
      <c r="F81" s="152"/>
      <c r="G81" s="152"/>
      <c r="H81" s="152"/>
      <c r="I81" s="153" t="s">
        <v>105</v>
      </c>
      <c r="J81" s="153"/>
      <c r="K81" s="153"/>
      <c r="L81" s="153"/>
      <c r="M81" s="153"/>
      <c r="N81" s="153"/>
      <c r="O81" s="154" t="s">
        <v>106</v>
      </c>
      <c r="P81" s="154"/>
      <c r="Q81" s="154"/>
      <c r="R81" s="154"/>
      <c r="S81" s="154"/>
      <c r="T81" s="154"/>
      <c r="U81" s="154"/>
      <c r="V81" s="155" t="s">
        <v>107</v>
      </c>
      <c r="W81" s="155"/>
      <c r="X81" s="155"/>
      <c r="Y81" s="155"/>
      <c r="Z81" s="155"/>
      <c r="AA81" s="155"/>
    </row>
    <row r="82" customFormat="false" ht="9" hidden="false" customHeight="true" outlineLevel="0" collapsed="false">
      <c r="B82" s="156" t="s">
        <v>108</v>
      </c>
      <c r="C82" s="156"/>
      <c r="D82" s="156"/>
      <c r="E82" s="156"/>
      <c r="F82" s="156"/>
      <c r="G82" s="156"/>
      <c r="H82" s="156"/>
      <c r="I82" s="156"/>
      <c r="J82" s="156"/>
      <c r="K82" s="156"/>
      <c r="L82" s="156"/>
      <c r="M82" s="156"/>
      <c r="N82" s="156"/>
      <c r="O82" s="156"/>
      <c r="P82" s="156"/>
      <c r="Q82" s="156"/>
      <c r="R82" s="156"/>
      <c r="S82" s="156"/>
      <c r="T82" s="156"/>
      <c r="U82" s="156"/>
      <c r="V82" s="156"/>
      <c r="W82" s="156"/>
      <c r="X82" s="156"/>
      <c r="Y82" s="156"/>
      <c r="Z82" s="156"/>
      <c r="AA82" s="156"/>
    </row>
    <row r="83" customFormat="false" ht="9" hidden="false" customHeight="true" outlineLevel="0" collapsed="false">
      <c r="B83" s="157" t="s">
        <v>109</v>
      </c>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row>
    <row r="84" customFormat="false" ht="9" hidden="false" customHeight="true" outlineLevel="0" collapsed="false">
      <c r="B84" s="158" t="s">
        <v>110</v>
      </c>
      <c r="C84" s="158"/>
      <c r="D84" s="158"/>
      <c r="E84" s="158"/>
      <c r="F84" s="158"/>
      <c r="G84" s="158"/>
      <c r="H84" s="158"/>
      <c r="I84" s="158"/>
      <c r="J84" s="158"/>
      <c r="K84" s="158"/>
      <c r="L84" s="158"/>
      <c r="M84" s="158"/>
      <c r="N84" s="158"/>
      <c r="O84" s="158"/>
      <c r="P84" s="158"/>
      <c r="Q84" s="158"/>
      <c r="R84" s="158"/>
      <c r="S84" s="158"/>
      <c r="T84" s="158"/>
      <c r="U84" s="158"/>
      <c r="V84" s="158"/>
      <c r="W84" s="158"/>
      <c r="X84" s="158"/>
      <c r="Y84" s="158"/>
      <c r="Z84" s="158"/>
      <c r="AA84" s="158"/>
    </row>
  </sheetData>
  <sheetProtection algorithmName="SHA-512" hashValue="pabqwDWwFNs7+lHWmOIBOtI4LdpsMEKZ7RarqUKgNgGocdJkz1hoNJ7mCXcg84JIWRfVQgW24DrDzFExGhP9Aw==" saltValue="NGI6h0IQ7DglBRXcZXqtXQ==" spinCount="100000" sheet="true" objects="true" scenarios="true"/>
  <mergeCells count="297">
    <mergeCell ref="A1:AA1"/>
    <mergeCell ref="B2:AA2"/>
    <mergeCell ref="B3:O3"/>
    <mergeCell ref="P3:Q4"/>
    <mergeCell ref="R3:S5"/>
    <mergeCell ref="W3:X5"/>
    <mergeCell ref="B4:E4"/>
    <mergeCell ref="F4:J5"/>
    <mergeCell ref="K4:O4"/>
    <mergeCell ref="B5:E5"/>
    <mergeCell ref="K5:N5"/>
    <mergeCell ref="P5:Q5"/>
    <mergeCell ref="B6:C6"/>
    <mergeCell ref="D6:F7"/>
    <mergeCell ref="G6:I6"/>
    <mergeCell ref="J6:K7"/>
    <mergeCell ref="L6:M6"/>
    <mergeCell ref="N6:O7"/>
    <mergeCell ref="P6:U6"/>
    <mergeCell ref="V6:AA6"/>
    <mergeCell ref="B7:C7"/>
    <mergeCell ref="G7:I7"/>
    <mergeCell ref="L7:M7"/>
    <mergeCell ref="P7:U7"/>
    <mergeCell ref="V7:AA7"/>
    <mergeCell ref="B8:E8"/>
    <mergeCell ref="F8:O8"/>
    <mergeCell ref="P8:R8"/>
    <mergeCell ref="S8:U8"/>
    <mergeCell ref="V8:X9"/>
    <mergeCell ref="Z8:AA8"/>
    <mergeCell ref="B9:J9"/>
    <mergeCell ref="K9:O9"/>
    <mergeCell ref="P9:R9"/>
    <mergeCell ref="S9:U9"/>
    <mergeCell ref="Z9:AA9"/>
    <mergeCell ref="B10:O10"/>
    <mergeCell ref="P10:R11"/>
    <mergeCell ref="S10:U11"/>
    <mergeCell ref="V10:X10"/>
    <mergeCell ref="Z10:AA10"/>
    <mergeCell ref="B11:F11"/>
    <mergeCell ref="G11:H11"/>
    <mergeCell ref="I11:M11"/>
    <mergeCell ref="N11:O11"/>
    <mergeCell ref="V11:Y11"/>
    <mergeCell ref="Z11:AA12"/>
    <mergeCell ref="B12:F12"/>
    <mergeCell ref="G12:H12"/>
    <mergeCell ref="I12:M12"/>
    <mergeCell ref="N12:O12"/>
    <mergeCell ref="P12:R12"/>
    <mergeCell ref="S12:U12"/>
    <mergeCell ref="V12:Y12"/>
    <mergeCell ref="B13:F13"/>
    <mergeCell ref="G13:H13"/>
    <mergeCell ref="I13:M13"/>
    <mergeCell ref="N13:O13"/>
    <mergeCell ref="P13:R15"/>
    <mergeCell ref="S13:S15"/>
    <mergeCell ref="T13:U13"/>
    <mergeCell ref="V13:X15"/>
    <mergeCell ref="Z13:AA13"/>
    <mergeCell ref="B14:F14"/>
    <mergeCell ref="G14:H14"/>
    <mergeCell ref="I14:M14"/>
    <mergeCell ref="N14:O14"/>
    <mergeCell ref="T14:U14"/>
    <mergeCell ref="Z14:AA14"/>
    <mergeCell ref="B15:F15"/>
    <mergeCell ref="G15:H15"/>
    <mergeCell ref="I15:M15"/>
    <mergeCell ref="N15:O15"/>
    <mergeCell ref="T15:U15"/>
    <mergeCell ref="Z15:AA15"/>
    <mergeCell ref="B16:O16"/>
    <mergeCell ref="P16:S17"/>
    <mergeCell ref="T16:U17"/>
    <mergeCell ref="V16:Y16"/>
    <mergeCell ref="Z16:Z17"/>
    <mergeCell ref="AA16:AA17"/>
    <mergeCell ref="B17:F17"/>
    <mergeCell ref="G17:H17"/>
    <mergeCell ref="I17:M17"/>
    <mergeCell ref="N17:O17"/>
    <mergeCell ref="V17:Y17"/>
    <mergeCell ref="B18:AA18"/>
    <mergeCell ref="B19:AA19"/>
    <mergeCell ref="B20:AA20"/>
    <mergeCell ref="B21:U23"/>
    <mergeCell ref="V21:AA24"/>
    <mergeCell ref="B24:U24"/>
    <mergeCell ref="B25:H25"/>
    <mergeCell ref="I25:N25"/>
    <mergeCell ref="O25:U25"/>
    <mergeCell ref="V25:AA25"/>
    <mergeCell ref="B26:AA26"/>
    <mergeCell ref="B27:AA27"/>
    <mergeCell ref="B28:AA28"/>
    <mergeCell ref="B29:AA29"/>
    <mergeCell ref="B30:AA30"/>
    <mergeCell ref="B31:O31"/>
    <mergeCell ref="P31:Q32"/>
    <mergeCell ref="R31:S33"/>
    <mergeCell ref="W31:X33"/>
    <mergeCell ref="B32:E32"/>
    <mergeCell ref="F32:J33"/>
    <mergeCell ref="K32:O32"/>
    <mergeCell ref="B33:E33"/>
    <mergeCell ref="K33:N33"/>
    <mergeCell ref="P33:Q33"/>
    <mergeCell ref="B34:C34"/>
    <mergeCell ref="D34:F35"/>
    <mergeCell ref="G34:I34"/>
    <mergeCell ref="J34:K35"/>
    <mergeCell ref="L34:M34"/>
    <mergeCell ref="N34:O35"/>
    <mergeCell ref="P34:U34"/>
    <mergeCell ref="V34:AA34"/>
    <mergeCell ref="B35:C35"/>
    <mergeCell ref="G35:I35"/>
    <mergeCell ref="L35:M35"/>
    <mergeCell ref="P35:U35"/>
    <mergeCell ref="V35:AA35"/>
    <mergeCell ref="B36:E36"/>
    <mergeCell ref="F36:O36"/>
    <mergeCell ref="P36:R36"/>
    <mergeCell ref="S36:U36"/>
    <mergeCell ref="V36:X37"/>
    <mergeCell ref="Z36:AA36"/>
    <mergeCell ref="B37:J37"/>
    <mergeCell ref="K37:O37"/>
    <mergeCell ref="P37:R37"/>
    <mergeCell ref="S37:U37"/>
    <mergeCell ref="Z37:AA37"/>
    <mergeCell ref="B38:O38"/>
    <mergeCell ref="P38:R39"/>
    <mergeCell ref="S38:U39"/>
    <mergeCell ref="V38:X38"/>
    <mergeCell ref="Z38:AA38"/>
    <mergeCell ref="B39:F39"/>
    <mergeCell ref="G39:H39"/>
    <mergeCell ref="I39:M39"/>
    <mergeCell ref="N39:O39"/>
    <mergeCell ref="V39:Y39"/>
    <mergeCell ref="Z39:AA40"/>
    <mergeCell ref="B40:F40"/>
    <mergeCell ref="G40:H40"/>
    <mergeCell ref="I40:M40"/>
    <mergeCell ref="N40:O40"/>
    <mergeCell ref="P40:R40"/>
    <mergeCell ref="S40:U40"/>
    <mergeCell ref="V40:Y40"/>
    <mergeCell ref="B41:F41"/>
    <mergeCell ref="G41:H41"/>
    <mergeCell ref="I41:M41"/>
    <mergeCell ref="N41:O41"/>
    <mergeCell ref="P41:R43"/>
    <mergeCell ref="S41:S43"/>
    <mergeCell ref="T41:U41"/>
    <mergeCell ref="V41:X43"/>
    <mergeCell ref="Z41:AA41"/>
    <mergeCell ref="B42:F42"/>
    <mergeCell ref="G42:H42"/>
    <mergeCell ref="I42:M42"/>
    <mergeCell ref="N42:O42"/>
    <mergeCell ref="T42:U42"/>
    <mergeCell ref="Z42:AA42"/>
    <mergeCell ref="B43:F43"/>
    <mergeCell ref="G43:H43"/>
    <mergeCell ref="I43:M43"/>
    <mergeCell ref="N43:O43"/>
    <mergeCell ref="T43:U43"/>
    <mergeCell ref="Z43:AA43"/>
    <mergeCell ref="B44:O44"/>
    <mergeCell ref="P44:S45"/>
    <mergeCell ref="T44:U45"/>
    <mergeCell ref="V44:Y44"/>
    <mergeCell ref="Z44:Z45"/>
    <mergeCell ref="AA44:AA45"/>
    <mergeCell ref="B45:F45"/>
    <mergeCell ref="G45:H45"/>
    <mergeCell ref="I45:M45"/>
    <mergeCell ref="N45:O45"/>
    <mergeCell ref="V45:Y45"/>
    <mergeCell ref="B46:AA46"/>
    <mergeCell ref="B47:AA47"/>
    <mergeCell ref="B48:AA48"/>
    <mergeCell ref="B49:U51"/>
    <mergeCell ref="V49:AA52"/>
    <mergeCell ref="B52:U52"/>
    <mergeCell ref="B53:H53"/>
    <mergeCell ref="I53:N53"/>
    <mergeCell ref="O53:U53"/>
    <mergeCell ref="V53:AA53"/>
    <mergeCell ref="B54:AA54"/>
    <mergeCell ref="B55:AA55"/>
    <mergeCell ref="B56:AA56"/>
    <mergeCell ref="B57:AA57"/>
    <mergeCell ref="B58:AA58"/>
    <mergeCell ref="B59:O59"/>
    <mergeCell ref="P59:Q60"/>
    <mergeCell ref="R59:S61"/>
    <mergeCell ref="W59:X61"/>
    <mergeCell ref="B60:E60"/>
    <mergeCell ref="F60:J61"/>
    <mergeCell ref="K60:O60"/>
    <mergeCell ref="B61:E61"/>
    <mergeCell ref="K61:N61"/>
    <mergeCell ref="P61:Q61"/>
    <mergeCell ref="B62:C62"/>
    <mergeCell ref="D62:F63"/>
    <mergeCell ref="G62:I62"/>
    <mergeCell ref="J62:K63"/>
    <mergeCell ref="L62:M62"/>
    <mergeCell ref="N62:O63"/>
    <mergeCell ref="P62:U62"/>
    <mergeCell ref="V62:AA62"/>
    <mergeCell ref="B63:C63"/>
    <mergeCell ref="G63:I63"/>
    <mergeCell ref="L63:M63"/>
    <mergeCell ref="P63:U63"/>
    <mergeCell ref="V63:AA63"/>
    <mergeCell ref="B64:E64"/>
    <mergeCell ref="F64:O64"/>
    <mergeCell ref="P64:R64"/>
    <mergeCell ref="S64:U64"/>
    <mergeCell ref="V64:X65"/>
    <mergeCell ref="Z64:AA64"/>
    <mergeCell ref="B65:J65"/>
    <mergeCell ref="K65:O65"/>
    <mergeCell ref="P65:R65"/>
    <mergeCell ref="S65:U65"/>
    <mergeCell ref="Z65:AA65"/>
    <mergeCell ref="B66:O66"/>
    <mergeCell ref="P66:R67"/>
    <mergeCell ref="S66:U67"/>
    <mergeCell ref="V66:X66"/>
    <mergeCell ref="Z66:AA66"/>
    <mergeCell ref="B67:F67"/>
    <mergeCell ref="G67:H67"/>
    <mergeCell ref="I67:M67"/>
    <mergeCell ref="N67:O67"/>
    <mergeCell ref="V67:Y67"/>
    <mergeCell ref="Z67:AA68"/>
    <mergeCell ref="B68:F68"/>
    <mergeCell ref="G68:H68"/>
    <mergeCell ref="I68:M68"/>
    <mergeCell ref="N68:O68"/>
    <mergeCell ref="P68:R68"/>
    <mergeCell ref="S68:U68"/>
    <mergeCell ref="V68:Y68"/>
    <mergeCell ref="B69:F69"/>
    <mergeCell ref="G69:H69"/>
    <mergeCell ref="I69:M69"/>
    <mergeCell ref="N69:O69"/>
    <mergeCell ref="P69:R71"/>
    <mergeCell ref="S69:S71"/>
    <mergeCell ref="T69:U69"/>
    <mergeCell ref="V69:X71"/>
    <mergeCell ref="Z69:AA69"/>
    <mergeCell ref="B70:F70"/>
    <mergeCell ref="G70:H70"/>
    <mergeCell ref="I70:M70"/>
    <mergeCell ref="N70:O70"/>
    <mergeCell ref="T70:U70"/>
    <mergeCell ref="Z70:AA70"/>
    <mergeCell ref="B71:F71"/>
    <mergeCell ref="G71:H71"/>
    <mergeCell ref="I71:M71"/>
    <mergeCell ref="N71:O71"/>
    <mergeCell ref="T71:U71"/>
    <mergeCell ref="Z71:AA71"/>
    <mergeCell ref="B72:O72"/>
    <mergeCell ref="P72:S73"/>
    <mergeCell ref="T72:U73"/>
    <mergeCell ref="V72:Y72"/>
    <mergeCell ref="Z72:Z73"/>
    <mergeCell ref="AA72:AA73"/>
    <mergeCell ref="B73:F73"/>
    <mergeCell ref="G73:H73"/>
    <mergeCell ref="I73:M73"/>
    <mergeCell ref="N73:O73"/>
    <mergeCell ref="V73:Y73"/>
    <mergeCell ref="B74:AA74"/>
    <mergeCell ref="B75:AA75"/>
    <mergeCell ref="B76:AA76"/>
    <mergeCell ref="B77:U79"/>
    <mergeCell ref="V77:AA80"/>
    <mergeCell ref="B80:U80"/>
    <mergeCell ref="B81:H81"/>
    <mergeCell ref="I81:N81"/>
    <mergeCell ref="O81:U81"/>
    <mergeCell ref="V81:AA81"/>
    <mergeCell ref="B82:AA82"/>
    <mergeCell ref="B83:AA83"/>
    <mergeCell ref="B84:AA84"/>
  </mergeCells>
  <conditionalFormatting sqref="Z15:AA15">
    <cfRule type="cellIs" priority="2" operator="equal" aboveAverage="0" equalAverage="0" bottom="0" percent="0" rank="0" text="" dxfId="0">
      <formula>0</formula>
    </cfRule>
  </conditionalFormatting>
  <conditionalFormatting sqref="Z8:AA8">
    <cfRule type="cellIs" priority="3" operator="equal" aboveAverage="0" equalAverage="0" bottom="0" percent="0" rank="0" text="" dxfId="1">
      <formula>0</formula>
    </cfRule>
  </conditionalFormatting>
  <conditionalFormatting sqref="Z10:AA10">
    <cfRule type="cellIs" priority="4" operator="equal" aboveAverage="0" equalAverage="0" bottom="0" percent="0" rank="0" text="" dxfId="2">
      <formula>0</formula>
    </cfRule>
  </conditionalFormatting>
  <conditionalFormatting sqref="Z13:AA13">
    <cfRule type="cellIs" priority="5" operator="equal" aboveAverage="0" equalAverage="0" bottom="0" percent="0" rank="0" text="" dxfId="3">
      <formula>0</formula>
    </cfRule>
  </conditionalFormatting>
  <conditionalFormatting sqref="Z36:AA36">
    <cfRule type="containsText" priority="6" operator="containsText" aboveAverage="0" equalAverage="0" bottom="0" percent="0" rank="0" text="ЛОЖЬ" dxfId="4">
      <formula>NOT(ISERROR(SEARCH("ЛОЖЬ",Z36)))</formula>
    </cfRule>
  </conditionalFormatting>
  <conditionalFormatting sqref="Z38:AA38">
    <cfRule type="containsText" priority="7" operator="containsText" aboveAverage="0" equalAverage="0" bottom="0" percent="0" rank="0" text="ЛОЖЬ" dxfId="5">
      <formula>NOT(ISERROR(SEARCH("ЛОЖЬ",Z38)))</formula>
    </cfRule>
  </conditionalFormatting>
  <conditionalFormatting sqref="Z41:AA41">
    <cfRule type="containsText" priority="8" operator="containsText" aboveAverage="0" equalAverage="0" bottom="0" percent="0" rank="0" text="ЛОЖЬ" dxfId="6">
      <formula>NOT(ISERROR(SEARCH("ЛОЖЬ",Z41)))</formula>
    </cfRule>
  </conditionalFormatting>
  <conditionalFormatting sqref="Z43:AA43">
    <cfRule type="containsText" priority="9" operator="containsText" aboveAverage="0" equalAverage="0" bottom="0" percent="0" rank="0" text="ЛОЖЬ" dxfId="7">
      <formula>NOT(ISERROR(SEARCH("ЛОЖЬ",Z43)))</formula>
    </cfRule>
  </conditionalFormatting>
  <conditionalFormatting sqref="Z64:AA64">
    <cfRule type="containsText" priority="10" operator="containsText" aboveAverage="0" equalAverage="0" bottom="0" percent="0" rank="0" text="ЛОЖЬ" dxfId="8">
      <formula>NOT(ISERROR(SEARCH("ЛОЖЬ",Z64)))</formula>
    </cfRule>
  </conditionalFormatting>
  <conditionalFormatting sqref="Z66:AA66">
    <cfRule type="containsText" priority="11" operator="containsText" aboveAverage="0" equalAverage="0" bottom="0" percent="0" rank="0" text="ЛОЖЬ" dxfId="9">
      <formula>NOT(ISERROR(SEARCH("ЛОЖЬ",Z66)))</formula>
    </cfRule>
  </conditionalFormatting>
  <conditionalFormatting sqref="Z69:AA69">
    <cfRule type="containsText" priority="12" operator="containsText" aboveAverage="0" equalAverage="0" bottom="0" percent="0" rank="0" text="ЛОЖЬ" dxfId="10">
      <formula>NOT(ISERROR(SEARCH("ЛОЖЬ",Z69)))</formula>
    </cfRule>
  </conditionalFormatting>
  <conditionalFormatting sqref="Z71:AA71">
    <cfRule type="containsText" priority="13" operator="containsText" aboveAverage="0" equalAverage="0" bottom="0" percent="0" rank="0" text="ЛОЖЬ" dxfId="11">
      <formula>NOT(ISERROR(SEARCH("ЛОЖЬ",Z71)))</formula>
    </cfRule>
  </conditionalFormatting>
  <printOptions headings="false" gridLines="false" gridLinesSet="true" horizontalCentered="false" verticalCentered="false"/>
  <pageMargins left="0.196527777777778" right="0.196527777777778" top="0.196527777777778" bottom="0.196527777777778" header="0.511805555555555" footer="0.511805555555555"/>
  <pageSetup paperSize="9" scale="93"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3:P3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J10" activeCellId="0" sqref="J10"/>
    </sheetView>
  </sheetViews>
  <sheetFormatPr defaultColWidth="8.6875" defaultRowHeight="12.75" zeroHeight="false" outlineLevelRow="0" outlineLevelCol="0"/>
  <cols>
    <col collapsed="false" customWidth="true" hidden="false" outlineLevel="0" max="1" min="1" style="0" width="5.01"/>
    <col collapsed="false" customWidth="true" hidden="false" outlineLevel="0" max="2" min="2" style="0" width="12.57"/>
    <col collapsed="false" customWidth="true" hidden="false" outlineLevel="0" max="3" min="3" style="0" width="13.14"/>
    <col collapsed="false" customWidth="true" hidden="false" outlineLevel="0" max="5" min="4" style="0" width="12.71"/>
    <col collapsed="false" customWidth="true" hidden="false" outlineLevel="0" max="6" min="6" style="0" width="13.01"/>
    <col collapsed="false" customWidth="true" hidden="false" outlineLevel="0" max="7" min="7" style="0" width="15.42"/>
    <col collapsed="false" customWidth="true" hidden="false" outlineLevel="0" max="8" min="8" style="0" width="12.71"/>
    <col collapsed="false" customWidth="true" hidden="false" outlineLevel="0" max="10" min="10" style="0" width="12.71"/>
    <col collapsed="false" customWidth="true" hidden="false" outlineLevel="0" max="11" min="11" style="0" width="14.15"/>
    <col collapsed="false" customWidth="true" hidden="false" outlineLevel="0" max="12" min="12" style="0" width="12.71"/>
    <col collapsed="false" customWidth="true" hidden="false" outlineLevel="0" max="14" min="14" style="0" width="13.14"/>
    <col collapsed="false" customWidth="true" hidden="false" outlineLevel="0" max="15" min="15" style="0" width="13.29"/>
    <col collapsed="false" customWidth="true" hidden="false" outlineLevel="0" max="16" min="16" style="0" width="12.71"/>
  </cols>
  <sheetData>
    <row r="3" customFormat="false" ht="12.75" hidden="false" customHeight="false" outlineLevel="0" collapsed="false">
      <c r="B3" s="162" t="s">
        <v>112</v>
      </c>
      <c r="C3" s="163"/>
      <c r="D3" s="163"/>
      <c r="E3" s="163"/>
      <c r="F3" s="163"/>
      <c r="G3" s="163"/>
      <c r="H3" s="163"/>
    </row>
    <row r="4" customFormat="false" ht="12.75" hidden="false" customHeight="false" outlineLevel="0" collapsed="false">
      <c r="B4" s="162" t="s">
        <v>113</v>
      </c>
      <c r="C4" s="163"/>
      <c r="D4" s="163"/>
      <c r="E4" s="163"/>
      <c r="F4" s="163"/>
      <c r="G4" s="163"/>
      <c r="H4" s="163"/>
    </row>
    <row r="5" customFormat="false" ht="12.75" hidden="false" customHeight="false" outlineLevel="0" collapsed="false">
      <c r="B5" s="164" t="s">
        <v>114</v>
      </c>
      <c r="C5" s="163"/>
      <c r="D5" s="163"/>
      <c r="E5" s="163"/>
      <c r="F5" s="163"/>
      <c r="G5" s="163"/>
      <c r="H5" s="163"/>
    </row>
    <row r="7" customFormat="false" ht="12.75" hidden="false" customHeight="false" outlineLevel="0" collapsed="false">
      <c r="B7" s="0" t="s">
        <v>115</v>
      </c>
    </row>
    <row r="8" customFormat="false" ht="12.75" hidden="false" customHeight="false" outlineLevel="0" collapsed="false">
      <c r="B8" s="0" t="s">
        <v>116</v>
      </c>
    </row>
    <row r="9" customFormat="false" ht="12.75" hidden="false" customHeight="false" outlineLevel="0" collapsed="false">
      <c r="B9" s="0" t="s">
        <v>117</v>
      </c>
    </row>
    <row r="10" customFormat="false" ht="12.75" hidden="false" customHeight="false" outlineLevel="0" collapsed="false">
      <c r="B10" s="165" t="s">
        <v>118</v>
      </c>
    </row>
    <row r="11" customFormat="false" ht="12.75" hidden="false" customHeight="false" outlineLevel="0" collapsed="false">
      <c r="B11" s="165" t="s">
        <v>119</v>
      </c>
    </row>
    <row r="12" customFormat="false" ht="12.75" hidden="false" customHeight="false" outlineLevel="0" collapsed="false">
      <c r="B12" s="0" t="s">
        <v>120</v>
      </c>
    </row>
    <row r="13" customFormat="false" ht="13.5" hidden="false" customHeight="true" outlineLevel="0" collapsed="false">
      <c r="B13" s="163" t="s">
        <v>121</v>
      </c>
    </row>
    <row r="14" customFormat="false" ht="12" hidden="false" customHeight="true" outlineLevel="0" collapsed="false">
      <c r="B14" s="0" t="s">
        <v>122</v>
      </c>
    </row>
    <row r="16" customFormat="false" ht="12.75" hidden="false" customHeight="false" outlineLevel="0" collapsed="false">
      <c r="B16" s="163" t="s">
        <v>123</v>
      </c>
    </row>
    <row r="17" customFormat="false" ht="12.75" hidden="false" customHeight="false" outlineLevel="0" collapsed="false">
      <c r="B17" s="0" t="s">
        <v>124</v>
      </c>
    </row>
    <row r="18" customFormat="false" ht="25.5" hidden="false" customHeight="true" outlineLevel="0" collapsed="false"/>
    <row r="19" customFormat="false" ht="23.25" hidden="false" customHeight="true" outlineLevel="0" collapsed="false">
      <c r="B19" s="166" t="s">
        <v>10</v>
      </c>
      <c r="C19" s="167" t="s">
        <v>125</v>
      </c>
      <c r="D19" s="167" t="s">
        <v>126</v>
      </c>
      <c r="F19" s="166" t="s">
        <v>10</v>
      </c>
      <c r="G19" s="167" t="s">
        <v>125</v>
      </c>
      <c r="H19" s="167" t="s">
        <v>126</v>
      </c>
      <c r="J19" s="166" t="s">
        <v>10</v>
      </c>
      <c r="K19" s="167" t="s">
        <v>125</v>
      </c>
      <c r="L19" s="167" t="s">
        <v>126</v>
      </c>
      <c r="N19" s="166" t="s">
        <v>10</v>
      </c>
      <c r="O19" s="167" t="s">
        <v>125</v>
      </c>
      <c r="P19" s="167" t="s">
        <v>126</v>
      </c>
    </row>
    <row r="20" customFormat="false" ht="24" hidden="false" customHeight="true" outlineLevel="0" collapsed="false">
      <c r="B20" s="168" t="n">
        <v>30</v>
      </c>
      <c r="C20" s="169" t="s">
        <v>127</v>
      </c>
      <c r="D20" s="170" t="n">
        <v>300</v>
      </c>
      <c r="F20" s="168" t="n">
        <v>30</v>
      </c>
      <c r="G20" s="169" t="s">
        <v>128</v>
      </c>
      <c r="H20" s="170" t="n">
        <v>250</v>
      </c>
      <c r="J20" s="168" t="n">
        <v>30</v>
      </c>
      <c r="K20" s="169" t="s">
        <v>129</v>
      </c>
      <c r="L20" s="170" t="n">
        <v>200</v>
      </c>
      <c r="N20" s="168" t="n">
        <v>30</v>
      </c>
      <c r="O20" s="169" t="s">
        <v>130</v>
      </c>
      <c r="P20" s="170" t="n">
        <v>150</v>
      </c>
    </row>
    <row r="21" customFormat="false" ht="24" hidden="false" customHeight="false" outlineLevel="0" collapsed="false">
      <c r="B21" s="171" t="n">
        <v>60</v>
      </c>
      <c r="C21" s="169"/>
      <c r="D21" s="172" t="n">
        <v>450</v>
      </c>
      <c r="F21" s="171" t="n">
        <v>60</v>
      </c>
      <c r="G21" s="169"/>
      <c r="H21" s="172" t="n">
        <v>350</v>
      </c>
      <c r="J21" s="171" t="n">
        <v>60</v>
      </c>
      <c r="K21" s="169"/>
      <c r="L21" s="172" t="n">
        <v>250</v>
      </c>
      <c r="N21" s="171" t="n">
        <v>60</v>
      </c>
      <c r="O21" s="169"/>
      <c r="P21" s="172" t="n">
        <v>200</v>
      </c>
    </row>
    <row r="22" customFormat="false" ht="24" hidden="false" customHeight="false" outlineLevel="0" collapsed="false">
      <c r="B22" s="168" t="n">
        <v>90</v>
      </c>
      <c r="C22" s="169"/>
      <c r="D22" s="170" t="n">
        <v>500</v>
      </c>
      <c r="F22" s="168" t="n">
        <v>90</v>
      </c>
      <c r="G22" s="169"/>
      <c r="H22" s="170" t="n">
        <v>450</v>
      </c>
      <c r="J22" s="168" t="n">
        <v>90</v>
      </c>
      <c r="K22" s="169"/>
      <c r="L22" s="170" t="n">
        <v>350</v>
      </c>
      <c r="N22" s="168" t="n">
        <v>90</v>
      </c>
      <c r="O22" s="169"/>
      <c r="P22" s="170" t="n">
        <v>250</v>
      </c>
    </row>
    <row r="23" customFormat="false" ht="24" hidden="false" customHeight="false" outlineLevel="0" collapsed="false">
      <c r="B23" s="168" t="n">
        <v>100</v>
      </c>
      <c r="C23" s="169"/>
      <c r="D23" s="170" t="n">
        <v>550</v>
      </c>
      <c r="F23" s="168" t="n">
        <v>100</v>
      </c>
      <c r="G23" s="169"/>
      <c r="H23" s="170" t="n">
        <v>500</v>
      </c>
      <c r="J23" s="168" t="n">
        <v>100</v>
      </c>
      <c r="K23" s="169"/>
      <c r="L23" s="170" t="n">
        <v>400</v>
      </c>
      <c r="N23" s="168" t="n">
        <v>100</v>
      </c>
      <c r="O23" s="169"/>
      <c r="P23" s="170" t="n">
        <v>300</v>
      </c>
    </row>
    <row r="24" customFormat="false" ht="21.75" hidden="false" customHeight="true" outlineLevel="0" collapsed="false">
      <c r="B24" s="171" t="n">
        <v>180</v>
      </c>
      <c r="C24" s="169"/>
      <c r="D24" s="172" t="n">
        <v>800</v>
      </c>
      <c r="F24" s="171" t="n">
        <v>180</v>
      </c>
      <c r="G24" s="169"/>
      <c r="H24" s="172" t="n">
        <v>600</v>
      </c>
      <c r="J24" s="171" t="n">
        <v>180</v>
      </c>
      <c r="K24" s="169"/>
      <c r="L24" s="172" t="n">
        <v>500</v>
      </c>
      <c r="N24" s="171" t="n">
        <v>180</v>
      </c>
      <c r="O24" s="169"/>
      <c r="P24" s="172" t="n">
        <v>350</v>
      </c>
    </row>
    <row r="25" customFormat="false" ht="24" hidden="false" customHeight="false" outlineLevel="0" collapsed="false">
      <c r="B25" s="171" t="n">
        <v>200</v>
      </c>
      <c r="C25" s="169"/>
      <c r="D25" s="172" t="n">
        <v>850</v>
      </c>
      <c r="F25" s="171" t="n">
        <v>200</v>
      </c>
      <c r="G25" s="169"/>
      <c r="H25" s="172" t="n">
        <v>650</v>
      </c>
      <c r="J25" s="171" t="n">
        <v>200</v>
      </c>
      <c r="K25" s="169"/>
      <c r="L25" s="173" t="n">
        <v>600</v>
      </c>
      <c r="N25" s="171" t="n">
        <v>200</v>
      </c>
      <c r="O25" s="169"/>
      <c r="P25" s="173" t="n">
        <v>500</v>
      </c>
    </row>
    <row r="26" customFormat="false" ht="24" hidden="false" customHeight="false" outlineLevel="0" collapsed="false">
      <c r="B26" s="171" t="n">
        <v>270</v>
      </c>
      <c r="C26" s="169"/>
      <c r="D26" s="172" t="n">
        <v>950</v>
      </c>
      <c r="F26" s="171" t="n">
        <v>270</v>
      </c>
      <c r="G26" s="169"/>
      <c r="H26" s="172" t="n">
        <v>850</v>
      </c>
      <c r="J26" s="171" t="n">
        <v>270</v>
      </c>
      <c r="K26" s="169"/>
      <c r="L26" s="173" t="n">
        <v>700</v>
      </c>
      <c r="N26" s="171" t="n">
        <v>270</v>
      </c>
      <c r="O26" s="169"/>
      <c r="P26" s="173" t="n">
        <v>600</v>
      </c>
    </row>
    <row r="27" customFormat="false" ht="24" hidden="false" customHeight="false" outlineLevel="0" collapsed="false">
      <c r="B27" s="168" t="s">
        <v>131</v>
      </c>
      <c r="C27" s="169"/>
      <c r="D27" s="170" t="n">
        <v>1200</v>
      </c>
      <c r="F27" s="168" t="s">
        <v>131</v>
      </c>
      <c r="G27" s="169"/>
      <c r="H27" s="170" t="n">
        <v>1100</v>
      </c>
      <c r="J27" s="168" t="s">
        <v>131</v>
      </c>
      <c r="K27" s="169"/>
      <c r="L27" s="170" t="n">
        <v>900</v>
      </c>
      <c r="N27" s="168" t="s">
        <v>131</v>
      </c>
      <c r="O27" s="169"/>
      <c r="P27" s="170" t="n">
        <v>700</v>
      </c>
    </row>
    <row r="29" customFormat="false" ht="12.75" hidden="true" customHeight="true" outlineLevel="0" collapsed="false">
      <c r="B29" s="174"/>
      <c r="C29" s="175"/>
      <c r="D29" s="175"/>
      <c r="E29" s="175"/>
      <c r="F29" s="175"/>
      <c r="G29" s="175"/>
      <c r="H29" s="175"/>
      <c r="I29" s="175"/>
      <c r="J29" s="175"/>
      <c r="K29" s="175"/>
      <c r="L29" s="175"/>
    </row>
    <row r="30" customFormat="false" ht="12.75" hidden="true" customHeight="true" outlineLevel="0" collapsed="false">
      <c r="B30" s="176" t="n">
        <v>60</v>
      </c>
      <c r="C30" s="0" t="n">
        <f aca="false">B30*D30</f>
        <v>0</v>
      </c>
      <c r="D30" s="176" t="n">
        <f aca="false">H30+(H30*N30)</f>
        <v>0</v>
      </c>
      <c r="F30" s="176" t="n">
        <v>60</v>
      </c>
      <c r="G30" s="0" t="n">
        <f aca="false">F30*H30</f>
        <v>0</v>
      </c>
      <c r="H30" s="176" t="n">
        <f aca="false">L30+(L30*N30)</f>
        <v>0</v>
      </c>
    </row>
    <row r="31" customFormat="false" ht="12.75" hidden="true" customHeight="true" outlineLevel="0" collapsed="false">
      <c r="B31" s="176" t="n">
        <v>90</v>
      </c>
      <c r="C31" s="0" t="n">
        <f aca="false">B31*D31</f>
        <v>0</v>
      </c>
      <c r="D31" s="176" t="n">
        <f aca="false">H31+(H31*N31)</f>
        <v>0</v>
      </c>
      <c r="F31" s="176" t="n">
        <v>90</v>
      </c>
      <c r="G31" s="0" t="n">
        <f aca="false">F31*H31</f>
        <v>0</v>
      </c>
      <c r="H31" s="176" t="n">
        <f aca="false">L31+(L31*N31)</f>
        <v>0</v>
      </c>
    </row>
    <row r="32" customFormat="false" ht="12.75" hidden="true" customHeight="true" outlineLevel="0" collapsed="false">
      <c r="B32" s="176" t="n">
        <v>180</v>
      </c>
      <c r="C32" s="0" t="n">
        <f aca="false">B32*D32</f>
        <v>0</v>
      </c>
      <c r="D32" s="176" t="n">
        <f aca="false">H32+(H32*N32)</f>
        <v>0</v>
      </c>
      <c r="F32" s="176" t="n">
        <v>180</v>
      </c>
      <c r="G32" s="0" t="n">
        <f aca="false">F32*H32</f>
        <v>0</v>
      </c>
      <c r="H32" s="176" t="n">
        <f aca="false">L32+(L32*N32)</f>
        <v>0</v>
      </c>
    </row>
    <row r="33" customFormat="false" ht="12.75" hidden="true" customHeight="true" outlineLevel="0" collapsed="false">
      <c r="B33" s="176" t="n">
        <v>365</v>
      </c>
      <c r="C33" s="0" t="n">
        <f aca="false">B33*D33</f>
        <v>0</v>
      </c>
      <c r="D33" s="176" t="n">
        <f aca="false">H33+(H33*N33)</f>
        <v>0</v>
      </c>
      <c r="F33" s="176" t="n">
        <v>365</v>
      </c>
      <c r="G33" s="0" t="n">
        <f aca="false">F33*H33</f>
        <v>0</v>
      </c>
      <c r="H33" s="176" t="n">
        <f aca="false">L33+(L33*N33)</f>
        <v>0</v>
      </c>
    </row>
    <row r="34" customFormat="false" ht="12.75" hidden="true" customHeight="true" outlineLevel="0" collapsed="false">
      <c r="H34" s="176"/>
    </row>
  </sheetData>
  <sheetProtection algorithmName="SHA-512" hashValue="+ps78hSdcrzlcp+7vy/UCi5/ikkZxzeiwmlzHZfloLf1z88B1Q7ICEbO3eLG6w9QIHgivoHeQp3UbPtI+8Lndw==" saltValue="cEJv0Iv2prBmeqL45iXa+w==" spinCount="100000" sheet="true"/>
  <mergeCells count="4">
    <mergeCell ref="C20:C27"/>
    <mergeCell ref="G20:G27"/>
    <mergeCell ref="K20:K27"/>
    <mergeCell ref="O20:O27"/>
  </mergeCells>
  <printOptions headings="false" gridLines="false" gridLinesSet="true" horizontalCentered="false" verticalCentered="false"/>
  <pageMargins left="0.708333333333333" right="0.708333333333333" top="0.747916666666667" bottom="0.747916666666667" header="0.511805555555555" footer="0.511805555555555"/>
  <pageSetup paperSize="9" scale="75"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C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8.6875" defaultRowHeight="12.75" zeroHeight="false" outlineLevelRow="0" outlineLevelCol="0"/>
  <cols>
    <col collapsed="false" customWidth="true" hidden="false" outlineLevel="0" max="2" min="2" style="0" width="31.7"/>
    <col collapsed="false" customWidth="true" hidden="false" outlineLevel="0" max="8" min="8" style="0" width="10.29"/>
  </cols>
  <sheetData>
    <row r="1" customFormat="false" ht="15.75" hidden="false" customHeight="false" outlineLevel="0" collapsed="false">
      <c r="B1" s="177" t="s">
        <v>132</v>
      </c>
      <c r="C1" s="0" t="n">
        <v>1</v>
      </c>
    </row>
    <row r="2" customFormat="false" ht="12.75" hidden="false" customHeight="false" outlineLevel="0" collapsed="false">
      <c r="B2" s="0" t="s">
        <v>133</v>
      </c>
    </row>
    <row r="3" customFormat="false" ht="12.75" hidden="false" customHeight="false" outlineLevel="0" collapsed="false">
      <c r="B3" s="0" t="s">
        <v>134</v>
      </c>
    </row>
    <row r="4" customFormat="false" ht="12.75" hidden="false" customHeight="false" outlineLevel="0" collapsed="false">
      <c r="B4" s="0" t="s">
        <v>135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P30"/>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17" activeCellId="0" sqref="B17"/>
    </sheetView>
  </sheetViews>
  <sheetFormatPr defaultColWidth="8.8671875" defaultRowHeight="12.75" zeroHeight="false" outlineLevelRow="0" outlineLevelCol="0"/>
  <cols>
    <col collapsed="false" customWidth="true" hidden="false" outlineLevel="0" max="1" min="1" style="178" width="3.71"/>
    <col collapsed="false" customWidth="true" hidden="false" outlineLevel="0" max="2" min="2" style="178" width="9"/>
    <col collapsed="false" customWidth="true" hidden="false" outlineLevel="0" max="3" min="3" style="178" width="42.14"/>
    <col collapsed="false" customWidth="true" hidden="false" outlineLevel="0" max="4" min="4" style="178" width="8"/>
    <col collapsed="false" customWidth="true" hidden="false" outlineLevel="0" max="5" min="5" style="178" width="14.86"/>
    <col collapsed="false" customWidth="true" hidden="false" outlineLevel="0" max="6" min="6" style="178" width="4.29"/>
    <col collapsed="false" customWidth="true" hidden="false" outlineLevel="0" max="7" min="7" style="178" width="4.86"/>
    <col collapsed="false" customWidth="true" hidden="false" outlineLevel="0" max="8" min="8" style="178" width="9.85"/>
    <col collapsed="false" customWidth="true" hidden="false" outlineLevel="0" max="9" min="9" style="178" width="6.86"/>
    <col collapsed="false" customWidth="true" hidden="false" outlineLevel="0" max="10" min="10" style="178" width="25.86"/>
    <col collapsed="false" customWidth="false" hidden="false" outlineLevel="0" max="15" min="11" style="178" width="8.86"/>
    <col collapsed="false" customWidth="true" hidden="false" outlineLevel="0" max="16" min="16" style="178" width="8.71"/>
    <col collapsed="false" customWidth="false" hidden="false" outlineLevel="0" max="256" min="17" style="178" width="8.86"/>
    <col collapsed="false" customWidth="true" hidden="false" outlineLevel="0" max="257" min="257" style="178" width="3.71"/>
    <col collapsed="false" customWidth="true" hidden="false" outlineLevel="0" max="258" min="258" style="178" width="9"/>
    <col collapsed="false" customWidth="true" hidden="false" outlineLevel="0" max="259" min="259" style="178" width="25.57"/>
    <col collapsed="false" customWidth="true" hidden="false" outlineLevel="0" max="260" min="260" style="178" width="12.29"/>
    <col collapsed="false" customWidth="true" hidden="false" outlineLevel="0" max="261" min="261" style="178" width="6.57"/>
    <col collapsed="false" customWidth="true" hidden="false" outlineLevel="0" max="262" min="262" style="178" width="10.85"/>
    <col collapsed="false" customWidth="true" hidden="false" outlineLevel="0" max="264" min="263" style="178" width="9.85"/>
    <col collapsed="false" customWidth="true" hidden="false" outlineLevel="0" max="265" min="265" style="178" width="11.86"/>
    <col collapsed="false" customWidth="true" hidden="false" outlineLevel="0" max="266" min="266" style="178" width="14.43"/>
    <col collapsed="false" customWidth="false" hidden="false" outlineLevel="0" max="512" min="267" style="178" width="8.86"/>
    <col collapsed="false" customWidth="true" hidden="false" outlineLevel="0" max="513" min="513" style="178" width="3.71"/>
    <col collapsed="false" customWidth="true" hidden="false" outlineLevel="0" max="514" min="514" style="178" width="9"/>
    <col collapsed="false" customWidth="true" hidden="false" outlineLevel="0" max="515" min="515" style="178" width="25.57"/>
    <col collapsed="false" customWidth="true" hidden="false" outlineLevel="0" max="516" min="516" style="178" width="12.29"/>
    <col collapsed="false" customWidth="true" hidden="false" outlineLevel="0" max="517" min="517" style="178" width="6.57"/>
    <col collapsed="false" customWidth="true" hidden="false" outlineLevel="0" max="518" min="518" style="178" width="10.85"/>
    <col collapsed="false" customWidth="true" hidden="false" outlineLevel="0" max="520" min="519" style="178" width="9.85"/>
    <col collapsed="false" customWidth="true" hidden="false" outlineLevel="0" max="521" min="521" style="178" width="11.86"/>
    <col collapsed="false" customWidth="true" hidden="false" outlineLevel="0" max="522" min="522" style="178" width="14.43"/>
    <col collapsed="false" customWidth="false" hidden="false" outlineLevel="0" max="768" min="523" style="178" width="8.86"/>
    <col collapsed="false" customWidth="true" hidden="false" outlineLevel="0" max="769" min="769" style="178" width="3.71"/>
    <col collapsed="false" customWidth="true" hidden="false" outlineLevel="0" max="770" min="770" style="178" width="9"/>
    <col collapsed="false" customWidth="true" hidden="false" outlineLevel="0" max="771" min="771" style="178" width="25.57"/>
    <col collapsed="false" customWidth="true" hidden="false" outlineLevel="0" max="772" min="772" style="178" width="12.29"/>
    <col collapsed="false" customWidth="true" hidden="false" outlineLevel="0" max="773" min="773" style="178" width="6.57"/>
    <col collapsed="false" customWidth="true" hidden="false" outlineLevel="0" max="774" min="774" style="178" width="10.85"/>
    <col collapsed="false" customWidth="true" hidden="false" outlineLevel="0" max="776" min="775" style="178" width="9.85"/>
    <col collapsed="false" customWidth="true" hidden="false" outlineLevel="0" max="777" min="777" style="178" width="11.86"/>
    <col collapsed="false" customWidth="true" hidden="false" outlineLevel="0" max="778" min="778" style="178" width="14.43"/>
    <col collapsed="false" customWidth="false" hidden="false" outlineLevel="0" max="1024" min="779" style="178" width="8.86"/>
  </cols>
  <sheetData>
    <row r="2" s="179" customFormat="true" ht="12.75" hidden="false" customHeight="false" outlineLevel="0" collapsed="false"/>
    <row r="3" s="179" customFormat="true" ht="12.75" hidden="false" customHeight="false" outlineLevel="0" collapsed="false"/>
    <row r="4" s="179" customFormat="true" ht="12.75" hidden="false" customHeight="true" outlineLevel="0" collapsed="false">
      <c r="A4" s="180"/>
      <c r="B4" s="181"/>
      <c r="C4" s="182" t="s">
        <v>136</v>
      </c>
      <c r="D4" s="183" t="s">
        <v>137</v>
      </c>
      <c r="E4" s="183"/>
      <c r="F4" s="183"/>
      <c r="G4" s="183"/>
      <c r="H4" s="183"/>
      <c r="I4" s="183"/>
      <c r="J4" s="183"/>
    </row>
    <row r="5" s="179" customFormat="true" ht="12.75" hidden="false" customHeight="true" outlineLevel="0" collapsed="false">
      <c r="A5" s="184"/>
      <c r="B5" s="185"/>
      <c r="C5" s="186"/>
      <c r="D5" s="187" t="s">
        <v>138</v>
      </c>
      <c r="E5" s="187"/>
      <c r="F5" s="187"/>
      <c r="G5" s="187"/>
      <c r="H5" s="187"/>
      <c r="I5" s="187"/>
      <c r="J5" s="187"/>
    </row>
    <row r="6" s="179" customFormat="true" ht="12.75" hidden="false" customHeight="true" outlineLevel="0" collapsed="false">
      <c r="A6" s="184"/>
      <c r="B6" s="185"/>
      <c r="C6" s="186"/>
      <c r="D6" s="188" t="s">
        <v>139</v>
      </c>
      <c r="E6" s="188"/>
      <c r="F6" s="188"/>
      <c r="G6" s="188"/>
      <c r="H6" s="188"/>
      <c r="I6" s="188"/>
      <c r="J6" s="188"/>
    </row>
    <row r="7" s="179" customFormat="true" ht="12.75" hidden="false" customHeight="true" outlineLevel="0" collapsed="false">
      <c r="A7" s="184"/>
      <c r="B7" s="185"/>
      <c r="C7" s="186"/>
      <c r="D7" s="189" t="s">
        <v>140</v>
      </c>
      <c r="E7" s="189"/>
      <c r="F7" s="189"/>
      <c r="G7" s="189"/>
      <c r="H7" s="190" t="s">
        <v>141</v>
      </c>
      <c r="I7" s="190"/>
      <c r="J7" s="190"/>
      <c r="P7" s="191"/>
    </row>
    <row r="8" s="179" customFormat="true" ht="12.75" hidden="false" customHeight="true" outlineLevel="0" collapsed="false">
      <c r="A8" s="184"/>
      <c r="B8" s="185"/>
      <c r="C8" s="192"/>
      <c r="D8" s="193" t="s">
        <v>142</v>
      </c>
      <c r="E8" s="193"/>
      <c r="F8" s="193"/>
      <c r="G8" s="193"/>
      <c r="H8" s="193"/>
      <c r="I8" s="193"/>
      <c r="J8" s="193"/>
    </row>
    <row r="9" s="179" customFormat="true" ht="12.75" hidden="false" customHeight="false" outlineLevel="0" collapsed="false">
      <c r="A9" s="184"/>
      <c r="B9" s="185"/>
      <c r="C9" s="185"/>
      <c r="D9" s="185"/>
      <c r="E9" s="185"/>
      <c r="F9" s="185"/>
      <c r="G9" s="185"/>
      <c r="H9" s="194"/>
      <c r="I9" s="194"/>
      <c r="J9" s="195"/>
    </row>
    <row r="10" s="179" customFormat="true" ht="18" hidden="false" customHeight="false" outlineLevel="0" collapsed="false">
      <c r="A10" s="196" t="s">
        <v>143</v>
      </c>
      <c r="B10" s="197"/>
      <c r="C10" s="197"/>
      <c r="D10" s="197"/>
      <c r="E10" s="197"/>
      <c r="F10" s="197"/>
      <c r="G10" s="197"/>
      <c r="H10" s="197"/>
      <c r="I10" s="197"/>
      <c r="J10" s="198"/>
    </row>
    <row r="11" s="179" customFormat="true" ht="18" hidden="false" customHeight="false" outlineLevel="0" collapsed="false">
      <c r="A11" s="199" t="s">
        <v>144</v>
      </c>
      <c r="B11" s="199"/>
      <c r="C11" s="200" t="n">
        <f aca="false">'Заповнення полісу'!B30</f>
        <v>44449</v>
      </c>
      <c r="D11" s="201"/>
      <c r="E11" s="201"/>
      <c r="F11" s="201"/>
      <c r="G11" s="201"/>
      <c r="H11" s="201"/>
      <c r="I11" s="201"/>
      <c r="J11" s="202"/>
    </row>
    <row r="12" s="205" customFormat="true" ht="12.75" hidden="false" customHeight="true" outlineLevel="0" collapsed="false">
      <c r="A12" s="203" t="s">
        <v>145</v>
      </c>
      <c r="B12" s="203"/>
      <c r="C12" s="204" t="s">
        <v>137</v>
      </c>
      <c r="D12" s="204"/>
      <c r="E12" s="204"/>
      <c r="F12" s="204"/>
      <c r="G12" s="204"/>
      <c r="H12" s="204"/>
      <c r="I12" s="204"/>
      <c r="J12" s="204"/>
    </row>
    <row r="13" s="205" customFormat="true" ht="12.75" hidden="false" customHeight="false" outlineLevel="0" collapsed="false">
      <c r="A13" s="203"/>
      <c r="B13" s="203"/>
      <c r="C13" s="206"/>
      <c r="D13" s="206"/>
      <c r="E13" s="206"/>
      <c r="F13" s="206"/>
      <c r="G13" s="206"/>
      <c r="H13" s="206"/>
      <c r="I13" s="206"/>
      <c r="J13" s="206"/>
    </row>
    <row r="14" s="205" customFormat="true" ht="12.75" hidden="false" customHeight="false" outlineLevel="0" collapsed="false">
      <c r="A14" s="203" t="s">
        <v>146</v>
      </c>
      <c r="B14" s="203"/>
      <c r="C14" s="207" t="str">
        <f aca="false">'Заповнення полісу'!B3</f>
        <v>SAVONCHUK NADIIA</v>
      </c>
      <c r="D14" s="207"/>
      <c r="E14" s="207"/>
      <c r="F14" s="207"/>
      <c r="G14" s="208"/>
      <c r="H14" s="209"/>
      <c r="I14" s="209"/>
      <c r="J14" s="209"/>
    </row>
    <row r="15" s="205" customFormat="true" ht="12.75" hidden="false" customHeight="false" outlineLevel="0" collapsed="false">
      <c r="A15" s="203"/>
      <c r="B15" s="203"/>
      <c r="C15" s="206"/>
      <c r="D15" s="206"/>
      <c r="E15" s="206"/>
      <c r="F15" s="206"/>
      <c r="G15" s="206"/>
      <c r="H15" s="206"/>
      <c r="I15" s="206"/>
      <c r="J15" s="206"/>
    </row>
    <row r="16" s="205" customFormat="true" ht="12.75" hidden="false" customHeight="true" outlineLevel="0" collapsed="false">
      <c r="A16" s="210"/>
      <c r="B16" s="211"/>
      <c r="C16" s="209" t="s">
        <v>147</v>
      </c>
      <c r="D16" s="209"/>
      <c r="E16" s="209"/>
      <c r="F16" s="209"/>
      <c r="G16" s="209"/>
      <c r="H16" s="209"/>
      <c r="I16" s="209"/>
      <c r="J16" s="209"/>
    </row>
    <row r="17" s="214" customFormat="true" ht="25.5" hidden="false" customHeight="false" outlineLevel="0" collapsed="false">
      <c r="A17" s="212" t="s">
        <v>148</v>
      </c>
      <c r="B17" s="212" t="s">
        <v>149</v>
      </c>
      <c r="C17" s="212"/>
      <c r="D17" s="212"/>
      <c r="E17" s="212"/>
      <c r="F17" s="212"/>
      <c r="G17" s="212"/>
      <c r="H17" s="212"/>
      <c r="I17" s="212"/>
      <c r="J17" s="213" t="s">
        <v>150</v>
      </c>
    </row>
    <row r="18" s="214" customFormat="true" ht="19.5" hidden="false" customHeight="true" outlineLevel="0" collapsed="false">
      <c r="A18" s="215" t="n">
        <v>1</v>
      </c>
      <c r="B18" s="216" t="s">
        <v>151</v>
      </c>
      <c r="C18" s="216"/>
      <c r="D18" s="217" t="s">
        <v>152</v>
      </c>
      <c r="E18" s="218" t="s">
        <v>153</v>
      </c>
      <c r="F18" s="219" t="s">
        <v>154</v>
      </c>
      <c r="G18" s="220" t="s">
        <v>155</v>
      </c>
      <c r="H18" s="221" t="n">
        <f aca="false">'Заповнення полісу'!B30</f>
        <v>44449</v>
      </c>
      <c r="I18" s="221"/>
      <c r="J18" s="222" t="n">
        <f aca="false">'Заповнення полісу'!B21</f>
        <v>300</v>
      </c>
    </row>
    <row r="19" s="179" customFormat="true" ht="12.75" hidden="false" customHeight="true" outlineLevel="0" collapsed="false">
      <c r="A19" s="215" t="n">
        <v>2</v>
      </c>
      <c r="B19" s="216"/>
      <c r="C19" s="216"/>
      <c r="D19" s="220"/>
      <c r="E19" s="220"/>
      <c r="F19" s="220"/>
      <c r="G19" s="223"/>
      <c r="H19" s="221"/>
      <c r="I19" s="221"/>
      <c r="J19" s="224"/>
    </row>
    <row r="20" s="179" customFormat="true" ht="12.75" hidden="false" customHeight="false" outlineLevel="0" collapsed="false">
      <c r="A20" s="215" t="n">
        <v>3</v>
      </c>
      <c r="B20" s="216"/>
      <c r="C20" s="216"/>
      <c r="D20" s="220"/>
      <c r="E20" s="220"/>
      <c r="F20" s="220"/>
      <c r="G20" s="223"/>
      <c r="H20" s="221"/>
      <c r="I20" s="221"/>
      <c r="J20" s="224" t="s">
        <v>147</v>
      </c>
    </row>
    <row r="21" s="179" customFormat="true" ht="14.25" hidden="false" customHeight="false" outlineLevel="0" collapsed="false">
      <c r="A21" s="225"/>
      <c r="C21" s="214"/>
      <c r="D21" s="214"/>
      <c r="E21" s="214"/>
      <c r="F21" s="214"/>
      <c r="G21" s="214"/>
      <c r="H21" s="214"/>
      <c r="I21" s="226" t="s">
        <v>156</v>
      </c>
      <c r="J21" s="227" t="s">
        <v>147</v>
      </c>
    </row>
    <row r="22" s="179" customFormat="true" ht="14.25" hidden="false" customHeight="false" outlineLevel="0" collapsed="false">
      <c r="A22" s="225"/>
      <c r="C22" s="225"/>
      <c r="D22" s="225"/>
      <c r="E22" s="225"/>
      <c r="F22" s="225"/>
      <c r="G22" s="225"/>
      <c r="H22" s="214"/>
      <c r="I22" s="226" t="s">
        <v>157</v>
      </c>
      <c r="J22" s="228" t="n">
        <f aca="false">SUM(J18:J20)</f>
        <v>300</v>
      </c>
    </row>
    <row r="23" s="179" customFormat="true" ht="14.25" hidden="false" customHeight="false" outlineLevel="0" collapsed="false">
      <c r="A23" s="225"/>
      <c r="C23" s="214"/>
      <c r="D23" s="214"/>
      <c r="E23" s="214"/>
      <c r="F23" s="214"/>
      <c r="G23" s="214"/>
      <c r="H23" s="214"/>
      <c r="I23" s="214"/>
      <c r="J23" s="214"/>
    </row>
    <row r="24" s="179" customFormat="true" ht="12.75" hidden="false" customHeight="true" outlineLevel="0" collapsed="false">
      <c r="A24" s="229" t="s">
        <v>158</v>
      </c>
      <c r="B24" s="229"/>
      <c r="C24" s="229"/>
      <c r="D24" s="230" t="e">
        <f aca="false">FSUMPROP(J22,0)</f>
        <v>#VALUE!</v>
      </c>
      <c r="E24" s="230"/>
      <c r="F24" s="230"/>
      <c r="G24" s="230"/>
      <c r="H24" s="230"/>
      <c r="I24" s="230"/>
      <c r="J24" s="231"/>
    </row>
    <row r="25" s="179" customFormat="true" ht="12.75" hidden="false" customHeight="false" outlineLevel="0" collapsed="false">
      <c r="A25" s="232"/>
      <c r="B25" s="232"/>
      <c r="C25" s="232"/>
      <c r="D25" s="232"/>
      <c r="E25" s="232"/>
      <c r="F25" s="232"/>
      <c r="G25" s="232"/>
      <c r="H25" s="232"/>
      <c r="I25" s="232"/>
      <c r="J25" s="232"/>
    </row>
    <row r="26" s="179" customFormat="true" ht="14.25" hidden="false" customHeight="false" outlineLevel="0" collapsed="false">
      <c r="A26" s="225"/>
      <c r="C26" s="214"/>
      <c r="D26" s="214"/>
      <c r="E26" s="214"/>
      <c r="F26" s="214"/>
      <c r="G26" s="214"/>
      <c r="H26" s="214"/>
      <c r="I26" s="214"/>
      <c r="J26" s="214"/>
    </row>
    <row r="27" s="179" customFormat="true" ht="14.25" hidden="false" customHeight="false" outlineLevel="0" collapsed="false">
      <c r="A27" s="214"/>
      <c r="B27" s="214"/>
      <c r="C27" s="214"/>
      <c r="E27" s="233" t="s">
        <v>159</v>
      </c>
      <c r="F27" s="234"/>
      <c r="G27" s="194"/>
      <c r="H27" s="235"/>
      <c r="I27" s="235"/>
      <c r="J27" s="235"/>
    </row>
    <row r="28" s="179" customFormat="true" ht="14.25" hidden="false" customHeight="false" outlineLevel="0" collapsed="false">
      <c r="A28" s="214"/>
      <c r="C28" s="214"/>
      <c r="D28" s="214"/>
      <c r="E28" s="214"/>
      <c r="F28" s="205"/>
      <c r="G28" s="205"/>
      <c r="H28" s="205"/>
      <c r="I28" s="205"/>
      <c r="J28" s="205"/>
    </row>
    <row r="29" s="179" customFormat="true" ht="12.75" hidden="false" customHeight="false" outlineLevel="0" collapsed="false"/>
    <row r="30" s="179" customFormat="true" ht="12.75" hidden="false" customHeight="false" outlineLevel="0" collapsed="false"/>
  </sheetData>
  <sheetProtection algorithmName="SHA-512" hashValue="OEr5DULn0aIut6mDdQ7+h4RCOnrW/NuekM27GC9n0tsuHJgnJYlDRwnKImq/+Je4DlctZdHrH46guUz6aScaYg==" saltValue="NF0GPtASHm0//r2iHXrAyg==" spinCount="100000" sheet="true" objects="true" scenarios="true"/>
  <mergeCells count="30">
    <mergeCell ref="D4:J4"/>
    <mergeCell ref="D5:J5"/>
    <mergeCell ref="D6:J6"/>
    <mergeCell ref="D7:G7"/>
    <mergeCell ref="H7:J7"/>
    <mergeCell ref="D8:J8"/>
    <mergeCell ref="A11:B11"/>
    <mergeCell ref="A12:B12"/>
    <mergeCell ref="C12:J12"/>
    <mergeCell ref="A13:B13"/>
    <mergeCell ref="C13:J13"/>
    <mergeCell ref="A14:B14"/>
    <mergeCell ref="C14:F14"/>
    <mergeCell ref="H14:J14"/>
    <mergeCell ref="A15:B15"/>
    <mergeCell ref="C15:J15"/>
    <mergeCell ref="C16:J16"/>
    <mergeCell ref="B17:I17"/>
    <mergeCell ref="B18:C18"/>
    <mergeCell ref="H18:I18"/>
    <mergeCell ref="B19:C19"/>
    <mergeCell ref="D19:F19"/>
    <mergeCell ref="H19:I19"/>
    <mergeCell ref="B20:C20"/>
    <mergeCell ref="D20:F20"/>
    <mergeCell ref="H20:I20"/>
    <mergeCell ref="A24:C24"/>
    <mergeCell ref="D24:I24"/>
    <mergeCell ref="A25:J25"/>
    <mergeCell ref="H27:J27"/>
  </mergeCells>
  <printOptions headings="false" gridLines="false" gridLinesSet="true" horizontalCentered="false" verticalCentered="false"/>
  <pageMargins left="0.7" right="0.7" top="0.75" bottom="0.75" header="0.511805555555555" footer="0.511805555555555"/>
  <pageSetup paperSize="9" scale="68"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0</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2007-03-29T08:44:04Z</dcterms:created>
  <dc:creator>o.golenchyna</dc:creator>
  <dc:description/>
  <dc:language>en-US</dc:language>
  <cp:lastModifiedBy>pc</cp:lastModifiedBy>
  <cp:lastPrinted>2021-04-27T13:25:13Z</cp:lastPrinted>
  <dcterms:modified xsi:type="dcterms:W3CDTF">2021-06-09T08:11:49Z</dcterms:modified>
  <cp:revision>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DocSecurity">
    <vt:i4>1</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